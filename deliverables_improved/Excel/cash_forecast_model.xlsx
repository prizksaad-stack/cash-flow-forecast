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_Donnees" sheetId="1" state="visible" r:id="rId1"/>
    <sheet xmlns:r="http://schemas.openxmlformats.org/officeDocument/2006/relationships" name="Detection_Risques" sheetId="2" state="visible" r:id="rId2"/>
    <sheet xmlns:r="http://schemas.openxmlformats.org/officeDocument/2006/relationships" name="Dashboard_Mensuel" sheetId="3" state="visible" r:id="rId3"/>
    <sheet xmlns:r="http://schemas.openxmlformats.org/officeDocument/2006/relationships" name="Bank_Data" sheetId="4" state="visible" r:id="rId4"/>
    <sheet xmlns:r="http://schemas.openxmlformats.org/officeDocument/2006/relationships" name="Sales_Data" sheetId="5" state="visible" r:id="rId5"/>
    <sheet xmlns:r="http://schemas.openxmlformats.org/officeDocument/2006/relationships" name="Purchase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0.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2" fillId="4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ANALYSE COMPLÈTE DES DONNÉES</t>
        </is>
      </c>
    </row>
    <row r="3">
      <c r="A3" s="8" t="inlineStr">
        <is>
          <t>1. DÉTECTION D'ANOMALIES</t>
        </is>
      </c>
    </row>
    <row r="4">
      <c r="A4" t="inlineStr">
        <is>
          <t>Transactions avec dates manquantes:</t>
        </is>
      </c>
      <c r="B4" t="n">
        <v>0</v>
      </c>
    </row>
    <row r="5">
      <c r="A5" t="inlineStr">
        <is>
          <t>Transactions dupliquées:</t>
        </is>
      </c>
      <c r="B5" t="n">
        <v>0</v>
      </c>
    </row>
    <row r="6">
      <c r="A6" t="inlineStr">
        <is>
          <t>Montants négatifs:</t>
        </is>
      </c>
      <c r="B6" t="n">
        <v>0</v>
      </c>
    </row>
    <row r="7">
      <c r="A7" t="inlineStr">
        <is>
          <t>Outliers (1% extrêmes):</t>
        </is>
      </c>
      <c r="B7" t="n">
        <v>16</v>
      </c>
    </row>
    <row r="9">
      <c r="A9" s="8" t="inlineStr">
        <is>
          <t>2. CLASSIFICATION RÉCURRENT vs NON-RÉCURRENT</t>
        </is>
      </c>
    </row>
    <row r="10">
      <c r="A10" t="inlineStr">
        <is>
          <t>Récurrent:</t>
        </is>
      </c>
      <c r="B10" t="n">
        <v>408</v>
      </c>
      <c r="C10" s="9">
        <f>408/SOMME(B10:B11)*100</f>
        <v/>
      </c>
    </row>
    <row r="11">
      <c r="A11" t="inlineStr">
        <is>
          <t>Non-récurrent:</t>
        </is>
      </c>
      <c r="B11" t="n">
        <v>299</v>
      </c>
      <c r="C11" s="9">
        <f>299/SOMME(B10:B11)*100</f>
        <v/>
      </c>
    </row>
    <row r="13">
      <c r="A13" s="8" t="inlineStr">
        <is>
          <t>3. SAISONNALITÉ</t>
        </is>
      </c>
    </row>
    <row r="14">
      <c r="A14" t="inlineStr">
        <is>
          <t>Pattern Hebdomadaire (moyenne):</t>
        </is>
      </c>
    </row>
    <row r="15">
      <c r="A15" s="10" t="inlineStr">
        <is>
          <t>Jour</t>
        </is>
      </c>
      <c r="B15" s="10" t="inlineStr">
        <is>
          <t>Crédits</t>
        </is>
      </c>
      <c r="C15" s="10" t="inlineStr">
        <is>
          <t>Débits</t>
        </is>
      </c>
    </row>
    <row r="16">
      <c r="A16" t="inlineStr">
        <is>
          <t>Monday</t>
        </is>
      </c>
      <c r="B16" s="5" t="n">
        <v>174840.1818604651</v>
      </c>
      <c r="C16" s="5" t="n">
        <v>16224.49867924529</v>
      </c>
    </row>
    <row r="17">
      <c r="A17" t="inlineStr">
        <is>
          <t>Tuesday</t>
        </is>
      </c>
      <c r="B17" s="5" t="n">
        <v>75170.76978723405</v>
      </c>
      <c r="C17" s="5" t="n">
        <v>9495.145156249999</v>
      </c>
    </row>
    <row r="18">
      <c r="A18" t="inlineStr">
        <is>
          <t>Wednesday</t>
        </is>
      </c>
      <c r="B18" s="5" t="n">
        <v>104343.1448648649</v>
      </c>
      <c r="C18" s="5" t="n">
        <v>14535.85271186441</v>
      </c>
    </row>
    <row r="19">
      <c r="A19" t="inlineStr">
        <is>
          <t>Thursday</t>
        </is>
      </c>
      <c r="B19" s="5" t="n">
        <v>21750.108</v>
      </c>
      <c r="C19" s="5" t="n">
        <v>19555.23545454545</v>
      </c>
    </row>
    <row r="20">
      <c r="A20" t="inlineStr">
        <is>
          <t>Friday</t>
        </is>
      </c>
      <c r="B20" s="5" t="n">
        <v>131431.0119444444</v>
      </c>
      <c r="C20" s="5" t="n">
        <v>11943.9893220339</v>
      </c>
    </row>
    <row r="21">
      <c r="A21" t="inlineStr">
        <is>
          <t>Saturday</t>
        </is>
      </c>
      <c r="B21" s="5" t="n">
        <v>113467.4920454545</v>
      </c>
      <c r="C21" s="5" t="n">
        <v>9854.676290322579</v>
      </c>
    </row>
    <row r="22">
      <c r="A22" t="inlineStr">
        <is>
          <t>Sunday</t>
        </is>
      </c>
      <c r="B22" s="5" t="n">
        <v>108114.1521153846</v>
      </c>
      <c r="C22" s="5" t="n">
        <v>15863.57017857143</v>
      </c>
    </row>
    <row r="24">
      <c r="A24" t="inlineStr">
        <is>
          <t>Cycles Mensuels (moyenne):</t>
        </is>
      </c>
    </row>
    <row r="25">
      <c r="A25" t="inlineStr">
        <is>
          <t>Encaissements moyens:</t>
        </is>
      </c>
      <c r="B25" s="5" t="n">
        <v>2593989.7225</v>
      </c>
    </row>
    <row r="26">
      <c r="A26" t="inlineStr">
        <is>
          <t>Décaissements moyens:</t>
        </is>
      </c>
      <c r="B26" s="5" t="n">
        <v>467065.5175000001</v>
      </c>
    </row>
    <row r="27">
      <c r="A27" t="inlineStr">
        <is>
          <t>Cash Flow Net moyen:</t>
        </is>
      </c>
      <c r="B27" s="5" t="n">
        <v>2126924.205</v>
      </c>
    </row>
    <row r="29">
      <c r="A29" s="8" t="inlineStr">
        <is>
          <t>4. MÉTRIQUES CLÉS</t>
        </is>
      </c>
    </row>
    <row r="30">
      <c r="A30" t="inlineStr">
        <is>
          <t>DSO moyen (jours):</t>
        </is>
      </c>
      <c r="B30" t="n">
        <v>55.45161290322581</v>
      </c>
    </row>
    <row r="31">
      <c r="A31" t="inlineStr">
        <is>
          <t>DPO moyen (jours):</t>
        </is>
      </c>
      <c r="B31" t="n">
        <v>56.80104712041885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DÉTECTION DE LIQUIDITY DIPS ET ZONES DE RISQUE</t>
        </is>
      </c>
    </row>
    <row r="3">
      <c r="A3" s="2" t="inlineStr">
        <is>
          <t>Date départ:</t>
        </is>
      </c>
      <c r="B3" s="11" t="inlineStr">
        <is>
          <t>2025-01-01</t>
        </is>
      </c>
    </row>
    <row r="5">
      <c r="A5" s="4" t="inlineStr">
        <is>
          <t>Date</t>
        </is>
      </c>
      <c r="B5" s="4" t="inlineStr">
        <is>
          <t>Jour</t>
        </is>
      </c>
      <c r="C5" s="4" t="inlineStr">
        <is>
          <t>Encaissements</t>
        </is>
      </c>
      <c r="D5" s="4" t="inlineStr">
        <is>
          <t>Décaissements</t>
        </is>
      </c>
      <c r="E5" s="4" t="inlineStr">
        <is>
          <t>Cash Flow Net</t>
        </is>
      </c>
      <c r="F5" s="4" t="inlineStr">
        <is>
          <t>Cumul</t>
        </is>
      </c>
      <c r="G5" s="4" t="inlineStr">
        <is>
          <t>Zone Risque</t>
        </is>
      </c>
    </row>
    <row r="6">
      <c r="A6" s="12">
        <f>B3+0</f>
        <v/>
      </c>
      <c r="B6">
        <f>TEXTE(A6;"dddd")</f>
        <v/>
      </c>
      <c r="C6" s="5">
        <f>104106.61+SIERREUR(INDEX(B51:B140;EQUIV(TEXTE(A6;"yyyy-mm-dd");A51:A140;0));0)</f>
        <v/>
      </c>
      <c r="D6" s="5">
        <f>13737.22+SIERREUR(INDEX(C51:C140;EQUIV(TEXTE(A6;"yyyy-mm-dd");A51:A140;0));0)</f>
        <v/>
      </c>
      <c r="E6" s="5">
        <f>C6-D6</f>
        <v/>
      </c>
      <c r="F6" s="5">
        <f>E6+25523090.46</f>
        <v/>
      </c>
      <c r="G6">
        <f>SI(F6&lt;0;"Critical";SI(F6&lt;100000;"Warning";SI(F6&lt;500000;"Caution";"Safe")))</f>
        <v/>
      </c>
    </row>
    <row r="7">
      <c r="A7" s="12">
        <f>B3+1</f>
        <v/>
      </c>
      <c r="B7">
        <f>TEXTE(A7;"dddd")</f>
        <v/>
      </c>
      <c r="C7" s="5">
        <f>104106.61+SIERREUR(INDEX(B51:B140;EQUIV(TEXTE(A7;"yyyy-mm-dd");A51:A140;0));0)</f>
        <v/>
      </c>
      <c r="D7" s="5">
        <f>13737.22+SIERREUR(INDEX(C51:C140;EQUIV(TEXTE(A7;"yyyy-mm-dd");A51:A140;0));0)</f>
        <v/>
      </c>
      <c r="E7" s="5">
        <f>C7-D7</f>
        <v/>
      </c>
      <c r="F7" s="5">
        <f>E7+F6</f>
        <v/>
      </c>
      <c r="G7">
        <f>SI(F7&lt;0;"Critical";SI(F7&lt;100000;"Warning";SI(F7&lt;500000;"Caution";"Safe")))</f>
        <v/>
      </c>
    </row>
    <row r="8">
      <c r="A8" s="12">
        <f>B3+2</f>
        <v/>
      </c>
      <c r="B8">
        <f>TEXTE(A8;"dddd")</f>
        <v/>
      </c>
      <c r="C8" s="5">
        <f>104106.61+SIERREUR(INDEX(B51:B140;EQUIV(TEXTE(A8;"yyyy-mm-dd");A51:A140;0));0)</f>
        <v/>
      </c>
      <c r="D8" s="5">
        <f>13737.22+SIERREUR(INDEX(C51:C140;EQUIV(TEXTE(A8;"yyyy-mm-dd");A51:A140;0));0)</f>
        <v/>
      </c>
      <c r="E8" s="5">
        <f>C8-D8</f>
        <v/>
      </c>
      <c r="F8" s="5">
        <f>E8+F7</f>
        <v/>
      </c>
      <c r="G8">
        <f>SI(F8&lt;0;"Critical";SI(F8&lt;100000;"Warning";SI(F8&lt;500000;"Caution";"Safe")))</f>
        <v/>
      </c>
    </row>
    <row r="9">
      <c r="A9" s="12">
        <f>B3+3</f>
        <v/>
      </c>
      <c r="B9">
        <f>TEXTE(A9;"dddd")</f>
        <v/>
      </c>
      <c r="C9" s="5">
        <f>104106.61+SIERREUR(INDEX(B51:B140;EQUIV(TEXTE(A9;"yyyy-mm-dd");A51:A140;0));0)</f>
        <v/>
      </c>
      <c r="D9" s="5">
        <f>13737.22+SIERREUR(INDEX(C51:C140;EQUIV(TEXTE(A9;"yyyy-mm-dd");A51:A140;0));0)</f>
        <v/>
      </c>
      <c r="E9" s="5">
        <f>C9-D9</f>
        <v/>
      </c>
      <c r="F9" s="5">
        <f>E9+F8</f>
        <v/>
      </c>
      <c r="G9">
        <f>SI(F9&lt;0;"Critical";SI(F9&lt;100000;"Warning";SI(F9&lt;500000;"Caution";"Safe")))</f>
        <v/>
      </c>
    </row>
    <row r="10">
      <c r="A10" s="12">
        <f>B3+4</f>
        <v/>
      </c>
      <c r="B10">
        <f>TEXTE(A10;"dddd")</f>
        <v/>
      </c>
      <c r="C10" s="5">
        <f>104106.61+SIERREUR(INDEX(B51:B140;EQUIV(TEXTE(A10;"yyyy-mm-dd");A51:A140;0));0)</f>
        <v/>
      </c>
      <c r="D10" s="5">
        <f>13737.22+SIERREUR(INDEX(C51:C140;EQUIV(TEXTE(A10;"yyyy-mm-dd");A51:A140;0));0)</f>
        <v/>
      </c>
      <c r="E10" s="5">
        <f>C10-D10</f>
        <v/>
      </c>
      <c r="F10" s="5">
        <f>E10+F9</f>
        <v/>
      </c>
      <c r="G10">
        <f>SI(F10&lt;0;"Critical";SI(F10&lt;100000;"Warning";SI(F10&lt;500000;"Caution";"Safe")))</f>
        <v/>
      </c>
    </row>
    <row r="11">
      <c r="A11" s="12">
        <f>B3+5</f>
        <v/>
      </c>
      <c r="B11">
        <f>TEXTE(A11;"dddd")</f>
        <v/>
      </c>
      <c r="C11" s="5">
        <f>104106.61+SIERREUR(INDEX(B51:B140;EQUIV(TEXTE(A11;"yyyy-mm-dd");A51:A140;0));0)</f>
        <v/>
      </c>
      <c r="D11" s="5">
        <f>13737.22+SIERREUR(INDEX(C51:C140;EQUIV(TEXTE(A11;"yyyy-mm-dd");A51:A140;0));0)</f>
        <v/>
      </c>
      <c r="E11" s="5">
        <f>C11-D11</f>
        <v/>
      </c>
      <c r="F11" s="5">
        <f>E11+F10</f>
        <v/>
      </c>
      <c r="G11">
        <f>SI(F11&lt;0;"Critical";SI(F11&lt;100000;"Warning";SI(F11&lt;500000;"Caution";"Safe")))</f>
        <v/>
      </c>
    </row>
    <row r="12">
      <c r="A12" s="12">
        <f>B3+6</f>
        <v/>
      </c>
      <c r="B12">
        <f>TEXTE(A12;"dddd")</f>
        <v/>
      </c>
      <c r="C12" s="5">
        <f>104106.61+SIERREUR(INDEX(B51:B140;EQUIV(TEXTE(A12;"yyyy-mm-dd");A51:A140;0));0)</f>
        <v/>
      </c>
      <c r="D12" s="5">
        <f>13737.22+SIERREUR(INDEX(C51:C140;EQUIV(TEXTE(A12;"yyyy-mm-dd");A51:A140;0));0)</f>
        <v/>
      </c>
      <c r="E12" s="5">
        <f>C12-D12</f>
        <v/>
      </c>
      <c r="F12" s="5">
        <f>E12+F11</f>
        <v/>
      </c>
      <c r="G12">
        <f>SI(F12&lt;0;"Critical";SI(F12&lt;100000;"Warning";SI(F12&lt;500000;"Caution";"Safe")))</f>
        <v/>
      </c>
    </row>
    <row r="13">
      <c r="A13" s="12">
        <f>B3+7</f>
        <v/>
      </c>
      <c r="B13">
        <f>TEXTE(A13;"dddd")</f>
        <v/>
      </c>
      <c r="C13" s="5">
        <f>104106.61+SIERREUR(INDEX(B51:B140;EQUIV(TEXTE(A13;"yyyy-mm-dd");A51:A140;0));0)</f>
        <v/>
      </c>
      <c r="D13" s="5">
        <f>13737.22+SIERREUR(INDEX(C51:C140;EQUIV(TEXTE(A13;"yyyy-mm-dd");A51:A140;0));0)</f>
        <v/>
      </c>
      <c r="E13" s="5">
        <f>C13-D13</f>
        <v/>
      </c>
      <c r="F13" s="5">
        <f>E13+F12</f>
        <v/>
      </c>
      <c r="G13">
        <f>SI(F13&lt;0;"Critical";SI(F13&lt;100000;"Warning";SI(F13&lt;500000;"Caution";"Safe")))</f>
        <v/>
      </c>
    </row>
    <row r="14">
      <c r="A14" s="12">
        <f>B3+8</f>
        <v/>
      </c>
      <c r="B14">
        <f>TEXTE(A14;"dddd")</f>
        <v/>
      </c>
      <c r="C14" s="5">
        <f>104106.61+SIERREUR(INDEX(B51:B140;EQUIV(TEXTE(A14;"yyyy-mm-dd");A51:A140;0));0)</f>
        <v/>
      </c>
      <c r="D14" s="5">
        <f>13737.22+SIERREUR(INDEX(C51:C140;EQUIV(TEXTE(A14;"yyyy-mm-dd");A51:A140;0));0)</f>
        <v/>
      </c>
      <c r="E14" s="5">
        <f>C14-D14</f>
        <v/>
      </c>
      <c r="F14" s="5">
        <f>E14+F13</f>
        <v/>
      </c>
      <c r="G14">
        <f>SI(F14&lt;0;"Critical";SI(F14&lt;100000;"Warning";SI(F14&lt;500000;"Caution";"Safe")))</f>
        <v/>
      </c>
    </row>
    <row r="15">
      <c r="A15" s="12">
        <f>B3+9</f>
        <v/>
      </c>
      <c r="B15">
        <f>TEXTE(A15;"dddd")</f>
        <v/>
      </c>
      <c r="C15" s="5">
        <f>104106.61+SIERREUR(INDEX(B51:B140;EQUIV(TEXTE(A15;"yyyy-mm-dd");A51:A140;0));0)</f>
        <v/>
      </c>
      <c r="D15" s="5">
        <f>13737.22+SIERREUR(INDEX(C51:C140;EQUIV(TEXTE(A15;"yyyy-mm-dd");A51:A140;0));0)</f>
        <v/>
      </c>
      <c r="E15" s="5">
        <f>C15-D15</f>
        <v/>
      </c>
      <c r="F15" s="5">
        <f>E15+F14</f>
        <v/>
      </c>
      <c r="G15">
        <f>SI(F15&lt;0;"Critical";SI(F15&lt;100000;"Warning";SI(F15&lt;500000;"Caution";"Safe")))</f>
        <v/>
      </c>
    </row>
    <row r="16">
      <c r="A16" s="12">
        <f>B3+10</f>
        <v/>
      </c>
      <c r="B16">
        <f>TEXTE(A16;"dddd")</f>
        <v/>
      </c>
      <c r="C16" s="5">
        <f>104106.61+SIERREUR(INDEX(B51:B140;EQUIV(TEXTE(A16;"yyyy-mm-dd");A51:A140;0));0)</f>
        <v/>
      </c>
      <c r="D16" s="5">
        <f>13737.22+SIERREUR(INDEX(C51:C140;EQUIV(TEXTE(A16;"yyyy-mm-dd");A51:A140;0));0)</f>
        <v/>
      </c>
      <c r="E16" s="5">
        <f>C16-D16</f>
        <v/>
      </c>
      <c r="F16" s="5">
        <f>E16+F15</f>
        <v/>
      </c>
      <c r="G16">
        <f>SI(F16&lt;0;"Critical";SI(F16&lt;100000;"Warning";SI(F16&lt;500000;"Caution";"Safe")))</f>
        <v/>
      </c>
    </row>
    <row r="17">
      <c r="A17" s="12">
        <f>B3+11</f>
        <v/>
      </c>
      <c r="B17">
        <f>TEXTE(A17;"dddd")</f>
        <v/>
      </c>
      <c r="C17" s="5">
        <f>104106.61+SIERREUR(INDEX(B51:B140;EQUIV(TEXTE(A17;"yyyy-mm-dd");A51:A140;0));0)</f>
        <v/>
      </c>
      <c r="D17" s="5">
        <f>13737.22+SIERREUR(INDEX(C51:C140;EQUIV(TEXTE(A17;"yyyy-mm-dd");A51:A140;0));0)</f>
        <v/>
      </c>
      <c r="E17" s="5">
        <f>C17-D17</f>
        <v/>
      </c>
      <c r="F17" s="5">
        <f>E17+F16</f>
        <v/>
      </c>
      <c r="G17">
        <f>SI(F17&lt;0;"Critical";SI(F17&lt;100000;"Warning";SI(F17&lt;500000;"Caution";"Safe")))</f>
        <v/>
      </c>
    </row>
    <row r="18">
      <c r="A18" s="12">
        <f>B3+12</f>
        <v/>
      </c>
      <c r="B18">
        <f>TEXTE(A18;"dddd")</f>
        <v/>
      </c>
      <c r="C18" s="5">
        <f>104106.61+SIERREUR(INDEX(B51:B140;EQUIV(TEXTE(A18;"yyyy-mm-dd");A51:A140;0));0)</f>
        <v/>
      </c>
      <c r="D18" s="5">
        <f>13737.22+SIERREUR(INDEX(C51:C140;EQUIV(TEXTE(A18;"yyyy-mm-dd");A51:A140;0));0)</f>
        <v/>
      </c>
      <c r="E18" s="5">
        <f>C18-D18</f>
        <v/>
      </c>
      <c r="F18" s="5">
        <f>E18+F17</f>
        <v/>
      </c>
      <c r="G18">
        <f>SI(F18&lt;0;"Critical";SI(F18&lt;100000;"Warning";SI(F18&lt;500000;"Caution";"Safe")))</f>
        <v/>
      </c>
    </row>
    <row r="19">
      <c r="A19" s="12">
        <f>B3+13</f>
        <v/>
      </c>
      <c r="B19">
        <f>TEXTE(A19;"dddd")</f>
        <v/>
      </c>
      <c r="C19" s="5">
        <f>104106.61+SIERREUR(INDEX(B51:B140;EQUIV(TEXTE(A19;"yyyy-mm-dd");A51:A140;0));0)</f>
        <v/>
      </c>
      <c r="D19" s="5">
        <f>13737.22+SIERREUR(INDEX(C51:C140;EQUIV(TEXTE(A19;"yyyy-mm-dd");A51:A140;0));0)</f>
        <v/>
      </c>
      <c r="E19" s="5">
        <f>C19-D19</f>
        <v/>
      </c>
      <c r="F19" s="5">
        <f>E19+F18</f>
        <v/>
      </c>
      <c r="G19">
        <f>SI(F19&lt;0;"Critical";SI(F19&lt;100000;"Warning";SI(F19&lt;500000;"Caution";"Safe")))</f>
        <v/>
      </c>
    </row>
    <row r="20">
      <c r="A20" s="12">
        <f>B3+14</f>
        <v/>
      </c>
      <c r="B20">
        <f>TEXTE(A20;"dddd")</f>
        <v/>
      </c>
      <c r="C20" s="5">
        <f>104106.61+SIERREUR(INDEX(B51:B140;EQUIV(TEXTE(A20;"yyyy-mm-dd");A51:A140;0));0)</f>
        <v/>
      </c>
      <c r="D20" s="5">
        <f>13737.22+SIERREUR(INDEX(C51:C140;EQUIV(TEXTE(A20;"yyyy-mm-dd");A51:A140;0));0)</f>
        <v/>
      </c>
      <c r="E20" s="5">
        <f>C20-D20</f>
        <v/>
      </c>
      <c r="F20" s="5">
        <f>E20+F19</f>
        <v/>
      </c>
      <c r="G20">
        <f>SI(F20&lt;0;"Critical";SI(F20&lt;100000;"Warning";SI(F20&lt;500000;"Caution";"Safe")))</f>
        <v/>
      </c>
    </row>
    <row r="21">
      <c r="A21" s="12">
        <f>B3+15</f>
        <v/>
      </c>
      <c r="B21">
        <f>TEXTE(A21;"dddd")</f>
        <v/>
      </c>
      <c r="C21" s="5">
        <f>104106.61+SIERREUR(INDEX(B51:B140;EQUIV(TEXTE(A21;"yyyy-mm-dd");A51:A140;0));0)</f>
        <v/>
      </c>
      <c r="D21" s="5">
        <f>13737.22+SIERREUR(INDEX(C51:C140;EQUIV(TEXTE(A21;"yyyy-mm-dd");A51:A140;0));0)</f>
        <v/>
      </c>
      <c r="E21" s="5">
        <f>C21-D21</f>
        <v/>
      </c>
      <c r="F21" s="5">
        <f>E21+F20</f>
        <v/>
      </c>
      <c r="G21">
        <f>SI(F21&lt;0;"Critical";SI(F21&lt;100000;"Warning";SI(F21&lt;500000;"Caution";"Safe")))</f>
        <v/>
      </c>
    </row>
    <row r="22">
      <c r="A22" s="12">
        <f>B3+16</f>
        <v/>
      </c>
      <c r="B22">
        <f>TEXTE(A22;"dddd")</f>
        <v/>
      </c>
      <c r="C22" s="5">
        <f>104106.61+SIERREUR(INDEX(B51:B140;EQUIV(TEXTE(A22;"yyyy-mm-dd");A51:A140;0));0)</f>
        <v/>
      </c>
      <c r="D22" s="5">
        <f>13737.22+SIERREUR(INDEX(C51:C140;EQUIV(TEXTE(A22;"yyyy-mm-dd");A51:A140;0));0)</f>
        <v/>
      </c>
      <c r="E22" s="5">
        <f>C22-D22</f>
        <v/>
      </c>
      <c r="F22" s="5">
        <f>E22+F21</f>
        <v/>
      </c>
      <c r="G22">
        <f>SI(F22&lt;0;"Critical";SI(F22&lt;100000;"Warning";SI(F22&lt;500000;"Caution";"Safe")))</f>
        <v/>
      </c>
    </row>
    <row r="23">
      <c r="A23" s="12">
        <f>B3+17</f>
        <v/>
      </c>
      <c r="B23">
        <f>TEXTE(A23;"dddd")</f>
        <v/>
      </c>
      <c r="C23" s="5">
        <f>104106.61+SIERREUR(INDEX(B51:B140;EQUIV(TEXTE(A23;"yyyy-mm-dd");A51:A140;0));0)</f>
        <v/>
      </c>
      <c r="D23" s="5">
        <f>13737.22+SIERREUR(INDEX(C51:C140;EQUIV(TEXTE(A23;"yyyy-mm-dd");A51:A140;0));0)</f>
        <v/>
      </c>
      <c r="E23" s="5">
        <f>C23-D23</f>
        <v/>
      </c>
      <c r="F23" s="5">
        <f>E23+F22</f>
        <v/>
      </c>
      <c r="G23">
        <f>SI(F23&lt;0;"Critical";SI(F23&lt;100000;"Warning";SI(F23&lt;500000;"Caution";"Safe")))</f>
        <v/>
      </c>
    </row>
    <row r="24">
      <c r="A24" s="12">
        <f>B3+18</f>
        <v/>
      </c>
      <c r="B24">
        <f>TEXTE(A24;"dddd")</f>
        <v/>
      </c>
      <c r="C24" s="5">
        <f>104106.61+SIERREUR(INDEX(B51:B140;EQUIV(TEXTE(A24;"yyyy-mm-dd");A51:A140;0));0)</f>
        <v/>
      </c>
      <c r="D24" s="5">
        <f>13737.22+SIERREUR(INDEX(C51:C140;EQUIV(TEXTE(A24;"yyyy-mm-dd");A51:A140;0));0)</f>
        <v/>
      </c>
      <c r="E24" s="5">
        <f>C24-D24</f>
        <v/>
      </c>
      <c r="F24" s="5">
        <f>E24+F23</f>
        <v/>
      </c>
      <c r="G24">
        <f>SI(F24&lt;0;"Critical";SI(F24&lt;100000;"Warning";SI(F24&lt;500000;"Caution";"Safe")))</f>
        <v/>
      </c>
    </row>
    <row r="25">
      <c r="A25" s="12">
        <f>B3+19</f>
        <v/>
      </c>
      <c r="B25">
        <f>TEXTE(A25;"dddd")</f>
        <v/>
      </c>
      <c r="C25" s="5">
        <f>104106.61+SIERREUR(INDEX(B51:B140;EQUIV(TEXTE(A25;"yyyy-mm-dd");A51:A140;0));0)</f>
        <v/>
      </c>
      <c r="D25" s="5">
        <f>13737.22+SIERREUR(INDEX(C51:C140;EQUIV(TEXTE(A25;"yyyy-mm-dd");A51:A140;0));0)</f>
        <v/>
      </c>
      <c r="E25" s="5">
        <f>C25-D25</f>
        <v/>
      </c>
      <c r="F25" s="5">
        <f>E25+F24</f>
        <v/>
      </c>
      <c r="G25">
        <f>SI(F25&lt;0;"Critical";SI(F25&lt;100000;"Warning";SI(F25&lt;500000;"Caution";"Safe")))</f>
        <v/>
      </c>
    </row>
    <row r="26">
      <c r="A26" s="12">
        <f>B3+20</f>
        <v/>
      </c>
      <c r="B26">
        <f>TEXTE(A26;"dddd")</f>
        <v/>
      </c>
      <c r="C26" s="5">
        <f>104106.61+SIERREUR(INDEX(B51:B140;EQUIV(TEXTE(A26;"yyyy-mm-dd");A51:A140;0));0)</f>
        <v/>
      </c>
      <c r="D26" s="5">
        <f>13737.22+SIERREUR(INDEX(C51:C140;EQUIV(TEXTE(A26;"yyyy-mm-dd");A51:A140;0));0)</f>
        <v/>
      </c>
      <c r="E26" s="5">
        <f>C26-D26</f>
        <v/>
      </c>
      <c r="F26" s="5">
        <f>E26+F25</f>
        <v/>
      </c>
      <c r="G26">
        <f>SI(F26&lt;0;"Critical";SI(F26&lt;100000;"Warning";SI(F26&lt;500000;"Caution";"Safe")))</f>
        <v/>
      </c>
    </row>
    <row r="27">
      <c r="A27" s="12">
        <f>B3+21</f>
        <v/>
      </c>
      <c r="B27">
        <f>TEXTE(A27;"dddd")</f>
        <v/>
      </c>
      <c r="C27" s="5">
        <f>104106.61+SIERREUR(INDEX(B51:B140;EQUIV(TEXTE(A27;"yyyy-mm-dd");A51:A140;0));0)</f>
        <v/>
      </c>
      <c r="D27" s="5">
        <f>13737.22+SIERREUR(INDEX(C51:C140;EQUIV(TEXTE(A27;"yyyy-mm-dd");A51:A140;0));0)</f>
        <v/>
      </c>
      <c r="E27" s="5">
        <f>C27-D27</f>
        <v/>
      </c>
      <c r="F27" s="5">
        <f>E27+F26</f>
        <v/>
      </c>
      <c r="G27">
        <f>SI(F27&lt;0;"Critical";SI(F27&lt;100000;"Warning";SI(F27&lt;500000;"Caution";"Safe")))</f>
        <v/>
      </c>
    </row>
    <row r="28">
      <c r="A28" s="12">
        <f>B3+22</f>
        <v/>
      </c>
      <c r="B28">
        <f>TEXTE(A28;"dddd")</f>
        <v/>
      </c>
      <c r="C28" s="5">
        <f>104106.61+SIERREUR(INDEX(B51:B140;EQUIV(TEXTE(A28;"yyyy-mm-dd");A51:A140;0));0)</f>
        <v/>
      </c>
      <c r="D28" s="5">
        <f>13737.22+SIERREUR(INDEX(C51:C140;EQUIV(TEXTE(A28;"yyyy-mm-dd");A51:A140;0));0)</f>
        <v/>
      </c>
      <c r="E28" s="5">
        <f>C28-D28</f>
        <v/>
      </c>
      <c r="F28" s="5">
        <f>E28+F27</f>
        <v/>
      </c>
      <c r="G28">
        <f>SI(F28&lt;0;"Critical";SI(F28&lt;100000;"Warning";SI(F28&lt;500000;"Caution";"Safe")))</f>
        <v/>
      </c>
    </row>
    <row r="29">
      <c r="A29" s="12">
        <f>B3+23</f>
        <v/>
      </c>
      <c r="B29">
        <f>TEXTE(A29;"dddd")</f>
        <v/>
      </c>
      <c r="C29" s="5">
        <f>104106.61+SIERREUR(INDEX(B51:B140;EQUIV(TEXTE(A29;"yyyy-mm-dd");A51:A140;0));0)</f>
        <v/>
      </c>
      <c r="D29" s="5">
        <f>13737.22+SIERREUR(INDEX(C51:C140;EQUIV(TEXTE(A29;"yyyy-mm-dd");A51:A140;0));0)</f>
        <v/>
      </c>
      <c r="E29" s="5">
        <f>C29-D29</f>
        <v/>
      </c>
      <c r="F29" s="5">
        <f>E29+F28</f>
        <v/>
      </c>
      <c r="G29">
        <f>SI(F29&lt;0;"Critical";SI(F29&lt;100000;"Warning";SI(F29&lt;500000;"Caution";"Safe")))</f>
        <v/>
      </c>
    </row>
    <row r="30">
      <c r="A30" s="12">
        <f>B3+24</f>
        <v/>
      </c>
      <c r="B30">
        <f>TEXTE(A30;"dddd")</f>
        <v/>
      </c>
      <c r="C30" s="5">
        <f>104106.61+SIERREUR(INDEX(B51:B140;EQUIV(TEXTE(A30;"yyyy-mm-dd");A51:A140;0));0)</f>
        <v/>
      </c>
      <c r="D30" s="5">
        <f>13737.22+SIERREUR(INDEX(C51:C140;EQUIV(TEXTE(A30;"yyyy-mm-dd");A51:A140;0));0)</f>
        <v/>
      </c>
      <c r="E30" s="5">
        <f>C30-D30</f>
        <v/>
      </c>
      <c r="F30" s="5">
        <f>E30+F29</f>
        <v/>
      </c>
      <c r="G30">
        <f>SI(F30&lt;0;"Critical";SI(F30&lt;100000;"Warning";SI(F30&lt;500000;"Caution";"Safe")))</f>
        <v/>
      </c>
    </row>
    <row r="31">
      <c r="A31" s="12">
        <f>B3+25</f>
        <v/>
      </c>
      <c r="B31">
        <f>TEXTE(A31;"dddd")</f>
        <v/>
      </c>
      <c r="C31" s="5">
        <f>104106.61+SIERREUR(INDEX(B51:B140;EQUIV(TEXTE(A31;"yyyy-mm-dd");A51:A140;0));0)</f>
        <v/>
      </c>
      <c r="D31" s="5">
        <f>13737.22+SIERREUR(INDEX(C51:C140;EQUIV(TEXTE(A31;"yyyy-mm-dd");A51:A140;0));0)</f>
        <v/>
      </c>
      <c r="E31" s="5">
        <f>C31-D31</f>
        <v/>
      </c>
      <c r="F31" s="5">
        <f>E31+F30</f>
        <v/>
      </c>
      <c r="G31">
        <f>SI(F31&lt;0;"Critical";SI(F31&lt;100000;"Warning";SI(F31&lt;500000;"Caution";"Safe")))</f>
        <v/>
      </c>
    </row>
    <row r="32">
      <c r="A32" s="12">
        <f>B3+26</f>
        <v/>
      </c>
      <c r="B32">
        <f>TEXTE(A32;"dddd")</f>
        <v/>
      </c>
      <c r="C32" s="5">
        <f>104106.61+SIERREUR(INDEX(B51:B140;EQUIV(TEXTE(A32;"yyyy-mm-dd");A51:A140;0));0)</f>
        <v/>
      </c>
      <c r="D32" s="5">
        <f>13737.22+SIERREUR(INDEX(C51:C140;EQUIV(TEXTE(A32;"yyyy-mm-dd");A51:A140;0));0)</f>
        <v/>
      </c>
      <c r="E32" s="5">
        <f>C32-D32</f>
        <v/>
      </c>
      <c r="F32" s="5">
        <f>E32+F31</f>
        <v/>
      </c>
      <c r="G32">
        <f>SI(F32&lt;0;"Critical";SI(F32&lt;100000;"Warning";SI(F32&lt;500000;"Caution";"Safe")))</f>
        <v/>
      </c>
    </row>
    <row r="33">
      <c r="A33" s="12">
        <f>B3+27</f>
        <v/>
      </c>
      <c r="B33">
        <f>TEXTE(A33;"dddd")</f>
        <v/>
      </c>
      <c r="C33" s="5">
        <f>104106.61+SIERREUR(INDEX(B51:B140;EQUIV(TEXTE(A33;"yyyy-mm-dd");A51:A140;0));0)</f>
        <v/>
      </c>
      <c r="D33" s="5">
        <f>13737.22+SIERREUR(INDEX(C51:C140;EQUIV(TEXTE(A33;"yyyy-mm-dd");A51:A140;0));0)</f>
        <v/>
      </c>
      <c r="E33" s="5">
        <f>C33-D33</f>
        <v/>
      </c>
      <c r="F33" s="5">
        <f>E33+F32</f>
        <v/>
      </c>
      <c r="G33">
        <f>SI(F33&lt;0;"Critical";SI(F33&lt;100000;"Warning";SI(F33&lt;500000;"Caution";"Safe")))</f>
        <v/>
      </c>
    </row>
    <row r="34">
      <c r="A34" s="12">
        <f>B3+28</f>
        <v/>
      </c>
      <c r="B34">
        <f>TEXTE(A34;"dddd")</f>
        <v/>
      </c>
      <c r="C34" s="5">
        <f>104106.61+SIERREUR(INDEX(B51:B140;EQUIV(TEXTE(A34;"yyyy-mm-dd");A51:A140;0));0)</f>
        <v/>
      </c>
      <c r="D34" s="5">
        <f>13737.22+SIERREUR(INDEX(C51:C140;EQUIV(TEXTE(A34;"yyyy-mm-dd");A51:A140;0));0)</f>
        <v/>
      </c>
      <c r="E34" s="5">
        <f>C34-D34</f>
        <v/>
      </c>
      <c r="F34" s="5">
        <f>E34+F33</f>
        <v/>
      </c>
      <c r="G34">
        <f>SI(F34&lt;0;"Critical";SI(F34&lt;100000;"Warning";SI(F34&lt;500000;"Caution";"Safe")))</f>
        <v/>
      </c>
    </row>
    <row r="35">
      <c r="A35" s="12">
        <f>B3+29</f>
        <v/>
      </c>
      <c r="B35">
        <f>TEXTE(A35;"dddd")</f>
        <v/>
      </c>
      <c r="C35" s="5">
        <f>104106.61+SIERREUR(INDEX(B51:B140;EQUIV(TEXTE(A35;"yyyy-mm-dd");A51:A140;0));0)</f>
        <v/>
      </c>
      <c r="D35" s="5">
        <f>13737.22+SIERREUR(INDEX(C51:C140;EQUIV(TEXTE(A35;"yyyy-mm-dd");A51:A140;0));0)</f>
        <v/>
      </c>
      <c r="E35" s="5">
        <f>C35-D35</f>
        <v/>
      </c>
      <c r="F35" s="5">
        <f>E35+F34</f>
        <v/>
      </c>
      <c r="G35">
        <f>SI(F35&lt;0;"Critical";SI(F35&lt;100000;"Warning";SI(F35&lt;500000;"Caution";"Safe")))</f>
        <v/>
      </c>
    </row>
    <row r="36">
      <c r="A36" s="12">
        <f>B3+30</f>
        <v/>
      </c>
      <c r="B36">
        <f>TEXTE(A36;"dddd")</f>
        <v/>
      </c>
      <c r="C36" s="5">
        <f>104106.61+SIERREUR(INDEX(B51:B140;EQUIV(TEXTE(A36;"yyyy-mm-dd");A51:A140;0));0)</f>
        <v/>
      </c>
      <c r="D36" s="5">
        <f>13737.22+SIERREUR(INDEX(C51:C140;EQUIV(TEXTE(A36;"yyyy-mm-dd");A51:A140;0));0)</f>
        <v/>
      </c>
      <c r="E36" s="5">
        <f>C36-D36</f>
        <v/>
      </c>
      <c r="F36" s="5">
        <f>E36+F35</f>
        <v/>
      </c>
      <c r="G36">
        <f>SI(F36&lt;0;"Critical";SI(F36&lt;100000;"Warning";SI(F36&lt;500000;"Caution";"Safe")))</f>
        <v/>
      </c>
    </row>
    <row r="37">
      <c r="A37" s="12">
        <f>B3+31</f>
        <v/>
      </c>
      <c r="B37">
        <f>TEXTE(A37;"dddd")</f>
        <v/>
      </c>
      <c r="C37" s="5">
        <f>104106.61+SIERREUR(INDEX(B51:B140;EQUIV(TEXTE(A37;"yyyy-mm-dd");A51:A140;0));0)</f>
        <v/>
      </c>
      <c r="D37" s="5">
        <f>13737.22+SIERREUR(INDEX(C51:C140;EQUIV(TEXTE(A37;"yyyy-mm-dd");A51:A140;0));0)</f>
        <v/>
      </c>
      <c r="E37" s="5">
        <f>C37-D37</f>
        <v/>
      </c>
      <c r="F37" s="5">
        <f>E37+F36</f>
        <v/>
      </c>
      <c r="G37">
        <f>SI(F37&lt;0;"Critical";SI(F37&lt;100000;"Warning";SI(F37&lt;500000;"Caution";"Safe")))</f>
        <v/>
      </c>
    </row>
    <row r="38">
      <c r="A38" s="12">
        <f>B3+32</f>
        <v/>
      </c>
      <c r="B38">
        <f>TEXTE(A38;"dddd")</f>
        <v/>
      </c>
      <c r="C38" s="5">
        <f>104106.61+SIERREUR(INDEX(B51:B140;EQUIV(TEXTE(A38;"yyyy-mm-dd");A51:A140;0));0)</f>
        <v/>
      </c>
      <c r="D38" s="5">
        <f>13737.22+SIERREUR(INDEX(C51:C140;EQUIV(TEXTE(A38;"yyyy-mm-dd");A51:A140;0));0)</f>
        <v/>
      </c>
      <c r="E38" s="5">
        <f>C38-D38</f>
        <v/>
      </c>
      <c r="F38" s="5">
        <f>E38+F37</f>
        <v/>
      </c>
      <c r="G38">
        <f>SI(F38&lt;0;"Critical";SI(F38&lt;100000;"Warning";SI(F38&lt;500000;"Caution";"Safe")))</f>
        <v/>
      </c>
    </row>
    <row r="39">
      <c r="A39" s="12">
        <f>B3+33</f>
        <v/>
      </c>
      <c r="B39">
        <f>TEXTE(A39;"dddd")</f>
        <v/>
      </c>
      <c r="C39" s="5">
        <f>104106.61+SIERREUR(INDEX(B51:B140;EQUIV(TEXTE(A39;"yyyy-mm-dd");A51:A140;0));0)</f>
        <v/>
      </c>
      <c r="D39" s="5">
        <f>13737.22+SIERREUR(INDEX(C51:C140;EQUIV(TEXTE(A39;"yyyy-mm-dd");A51:A140;0));0)</f>
        <v/>
      </c>
      <c r="E39" s="5">
        <f>C39-D39</f>
        <v/>
      </c>
      <c r="F39" s="5">
        <f>E39+F38</f>
        <v/>
      </c>
      <c r="G39">
        <f>SI(F39&lt;0;"Critical";SI(F39&lt;100000;"Warning";SI(F39&lt;500000;"Caution";"Safe")))</f>
        <v/>
      </c>
    </row>
    <row r="40">
      <c r="A40" s="12">
        <f>B3+34</f>
        <v/>
      </c>
      <c r="B40">
        <f>TEXTE(A40;"dddd")</f>
        <v/>
      </c>
      <c r="C40" s="5">
        <f>104106.61+SIERREUR(INDEX(B51:B140;EQUIV(TEXTE(A40;"yyyy-mm-dd");A51:A140;0));0)</f>
        <v/>
      </c>
      <c r="D40" s="5">
        <f>13737.22+SIERREUR(INDEX(C51:C140;EQUIV(TEXTE(A40;"yyyy-mm-dd");A51:A140;0));0)</f>
        <v/>
      </c>
      <c r="E40" s="5">
        <f>C40-D40</f>
        <v/>
      </c>
      <c r="F40" s="5">
        <f>E40+F39</f>
        <v/>
      </c>
      <c r="G40">
        <f>SI(F40&lt;0;"Critical";SI(F40&lt;100000;"Warning";SI(F40&lt;500000;"Caution";"Safe")))</f>
        <v/>
      </c>
    </row>
    <row r="41">
      <c r="A41" s="12">
        <f>B3+35</f>
        <v/>
      </c>
      <c r="B41">
        <f>TEXTE(A41;"dddd")</f>
        <v/>
      </c>
      <c r="C41" s="5">
        <f>104106.61+SIERREUR(INDEX(B51:B140;EQUIV(TEXTE(A41;"yyyy-mm-dd");A51:A140;0));0)</f>
        <v/>
      </c>
      <c r="D41" s="5">
        <f>13737.22+SIERREUR(INDEX(C51:C140;EQUIV(TEXTE(A41;"yyyy-mm-dd");A51:A140;0));0)</f>
        <v/>
      </c>
      <c r="E41" s="5">
        <f>C41-D41</f>
        <v/>
      </c>
      <c r="F41" s="5">
        <f>E41+F40</f>
        <v/>
      </c>
      <c r="G41">
        <f>SI(F41&lt;0;"Critical";SI(F41&lt;100000;"Warning";SI(F41&lt;500000;"Caution";"Safe")))</f>
        <v/>
      </c>
    </row>
    <row r="42">
      <c r="A42" s="12">
        <f>B3+36</f>
        <v/>
      </c>
      <c r="B42">
        <f>TEXTE(A42;"dddd")</f>
        <v/>
      </c>
      <c r="C42" s="5">
        <f>104106.61+SIERREUR(INDEX(B51:B140;EQUIV(TEXTE(A42;"yyyy-mm-dd");A51:A140;0));0)</f>
        <v/>
      </c>
      <c r="D42" s="5">
        <f>13737.22+SIERREUR(INDEX(C51:C140;EQUIV(TEXTE(A42;"yyyy-mm-dd");A51:A140;0));0)</f>
        <v/>
      </c>
      <c r="E42" s="5">
        <f>C42-D42</f>
        <v/>
      </c>
      <c r="F42" s="5">
        <f>E42+F41</f>
        <v/>
      </c>
      <c r="G42">
        <f>SI(F42&lt;0;"Critical";SI(F42&lt;100000;"Warning";SI(F42&lt;500000;"Caution";"Safe")))</f>
        <v/>
      </c>
    </row>
    <row r="43">
      <c r="A43" s="12">
        <f>B3+37</f>
        <v/>
      </c>
      <c r="B43">
        <f>TEXTE(A43;"dddd")</f>
        <v/>
      </c>
      <c r="C43" s="5">
        <f>104106.61+SIERREUR(INDEX(B51:B140;EQUIV(TEXTE(A43;"yyyy-mm-dd");A51:A140;0));0)</f>
        <v/>
      </c>
      <c r="D43" s="5">
        <f>13737.22+SIERREUR(INDEX(C51:C140;EQUIV(TEXTE(A43;"yyyy-mm-dd");A51:A140;0));0)</f>
        <v/>
      </c>
      <c r="E43" s="5">
        <f>C43-D43</f>
        <v/>
      </c>
      <c r="F43" s="5">
        <f>E43+F42</f>
        <v/>
      </c>
      <c r="G43">
        <f>SI(F43&lt;0;"Critical";SI(F43&lt;100000;"Warning";SI(F43&lt;500000;"Caution";"Safe")))</f>
        <v/>
      </c>
    </row>
    <row r="44">
      <c r="A44" s="12">
        <f>B3+38</f>
        <v/>
      </c>
      <c r="B44">
        <f>TEXTE(A44;"dddd")</f>
        <v/>
      </c>
      <c r="C44" s="5">
        <f>104106.61+SIERREUR(INDEX(B51:B140;EQUIV(TEXTE(A44;"yyyy-mm-dd");A51:A140;0));0)</f>
        <v/>
      </c>
      <c r="D44" s="5">
        <f>13737.22+SIERREUR(INDEX(C51:C140;EQUIV(TEXTE(A44;"yyyy-mm-dd");A51:A140;0));0)</f>
        <v/>
      </c>
      <c r="E44" s="5">
        <f>C44-D44</f>
        <v/>
      </c>
      <c r="F44" s="5">
        <f>E44+F43</f>
        <v/>
      </c>
      <c r="G44">
        <f>SI(F44&lt;0;"Critical";SI(F44&lt;100000;"Warning";SI(F44&lt;500000;"Caution";"Safe")))</f>
        <v/>
      </c>
    </row>
    <row r="45">
      <c r="A45" s="12">
        <f>B3+39</f>
        <v/>
      </c>
      <c r="B45">
        <f>TEXTE(A45;"dddd")</f>
        <v/>
      </c>
      <c r="C45" s="5">
        <f>104106.61+SIERREUR(INDEX(B51:B140;EQUIV(TEXTE(A45;"yyyy-mm-dd");A51:A140;0));0)</f>
        <v/>
      </c>
      <c r="D45" s="5">
        <f>13737.22+SIERREUR(INDEX(C51:C140;EQUIV(TEXTE(A45;"yyyy-mm-dd");A51:A140;0));0)</f>
        <v/>
      </c>
      <c r="E45" s="5">
        <f>C45-D45</f>
        <v/>
      </c>
      <c r="F45" s="5">
        <f>E45+F44</f>
        <v/>
      </c>
      <c r="G45">
        <f>SI(F45&lt;0;"Critical";SI(F45&lt;100000;"Warning";SI(F45&lt;500000;"Caution";"Safe")))</f>
        <v/>
      </c>
    </row>
    <row r="46">
      <c r="A46" s="12">
        <f>B3+40</f>
        <v/>
      </c>
      <c r="B46">
        <f>TEXTE(A46;"dddd")</f>
        <v/>
      </c>
      <c r="C46" s="5">
        <f>104106.61+SIERREUR(INDEX(B51:B140;EQUIV(TEXTE(A46;"yyyy-mm-dd");A51:A140;0));0)</f>
        <v/>
      </c>
      <c r="D46" s="5">
        <f>13737.22+SIERREUR(INDEX(C51:C140;EQUIV(TEXTE(A46;"yyyy-mm-dd");A51:A140;0));0)</f>
        <v/>
      </c>
      <c r="E46" s="5">
        <f>C46-D46</f>
        <v/>
      </c>
      <c r="F46" s="5">
        <f>E46+F45</f>
        <v/>
      </c>
      <c r="G46">
        <f>SI(F46&lt;0;"Critical";SI(F46&lt;100000;"Warning";SI(F46&lt;500000;"Caution";"Safe")))</f>
        <v/>
      </c>
    </row>
    <row r="47">
      <c r="A47" s="12">
        <f>B3+41</f>
        <v/>
      </c>
      <c r="B47">
        <f>TEXTE(A47;"dddd")</f>
        <v/>
      </c>
      <c r="C47" s="5">
        <f>104106.61+SIERREUR(INDEX(B51:B140;EQUIV(TEXTE(A47;"yyyy-mm-dd");A51:A140;0));0)</f>
        <v/>
      </c>
      <c r="D47" s="5">
        <f>13737.22+SIERREUR(INDEX(C51:C140;EQUIV(TEXTE(A47;"yyyy-mm-dd");A51:A140;0));0)</f>
        <v/>
      </c>
      <c r="E47" s="5">
        <f>C47-D47</f>
        <v/>
      </c>
      <c r="F47" s="5">
        <f>E47+F46</f>
        <v/>
      </c>
      <c r="G47">
        <f>SI(F47&lt;0;"Critical";SI(F47&lt;100000;"Warning";SI(F47&lt;500000;"Caution";"Safe")))</f>
        <v/>
      </c>
    </row>
    <row r="48">
      <c r="A48" s="12">
        <f>B3+42</f>
        <v/>
      </c>
      <c r="B48">
        <f>TEXTE(A48;"dddd")</f>
        <v/>
      </c>
      <c r="C48" s="5">
        <f>104106.61+SIERREUR(INDEX(B51:B140;EQUIV(TEXTE(A48;"yyyy-mm-dd");A51:A140;0));0)</f>
        <v/>
      </c>
      <c r="D48" s="5">
        <f>13737.22+SIERREUR(INDEX(C51:C140;EQUIV(TEXTE(A48;"yyyy-mm-dd");A51:A140;0));0)</f>
        <v/>
      </c>
      <c r="E48" s="5">
        <f>C48-D48</f>
        <v/>
      </c>
      <c r="F48" s="5">
        <f>E48+F47</f>
        <v/>
      </c>
      <c r="G48">
        <f>SI(F48&lt;0;"Critical";SI(F48&lt;100000;"Warning";SI(F48&lt;500000;"Caution";"Safe")))</f>
        <v/>
      </c>
    </row>
    <row r="49">
      <c r="A49" s="12">
        <f>B3+43</f>
        <v/>
      </c>
      <c r="B49">
        <f>TEXTE(A49;"dddd")</f>
        <v/>
      </c>
      <c r="C49" s="5">
        <f>104106.61+SIERREUR(INDEX(B51:B140;EQUIV(TEXTE(A49;"yyyy-mm-dd");A51:A140;0));0)</f>
        <v/>
      </c>
      <c r="D49" s="5">
        <f>13737.22+SIERREUR(INDEX(C51:C140;EQUIV(TEXTE(A49;"yyyy-mm-dd");A51:A140;0));0)</f>
        <v/>
      </c>
      <c r="E49" s="5">
        <f>C49-D49</f>
        <v/>
      </c>
      <c r="F49" s="5">
        <f>E49+F48</f>
        <v/>
      </c>
      <c r="G49">
        <f>SI(F49&lt;0;"Critical";SI(F49&lt;100000;"Warning";SI(F49&lt;500000;"Caution";"Safe")))</f>
        <v/>
      </c>
    </row>
    <row r="50">
      <c r="A50" s="12">
        <f>B3+44</f>
        <v/>
      </c>
      <c r="B50">
        <f>TEXTE(A50;"dddd")</f>
        <v/>
      </c>
      <c r="C50" s="5">
        <f>104106.61+SIERREUR(INDEX(B51:B140;EQUIV(TEXTE(A50;"yyyy-mm-dd");A51:A140;0));0)</f>
        <v/>
      </c>
      <c r="D50" s="5">
        <f>13737.22+SIERREUR(INDEX(C51:C140;EQUIV(TEXTE(A50;"yyyy-mm-dd");A51:A140;0));0)</f>
        <v/>
      </c>
      <c r="E50" s="5">
        <f>C50-D50</f>
        <v/>
      </c>
      <c r="F50" s="5">
        <f>E50+F49</f>
        <v/>
      </c>
      <c r="G50">
        <f>SI(F50&lt;0;"Critical";SI(F50&lt;100000;"Warning";SI(F50&lt;500000;"Caution";"Safe")))</f>
        <v/>
      </c>
    </row>
    <row r="51">
      <c r="A51" s="12">
        <f>B3+45</f>
        <v/>
      </c>
      <c r="B51">
        <f>TEXTE(A51;"dddd")</f>
        <v/>
      </c>
      <c r="C51" s="5">
        <f>104106.61+SIERREUR(INDEX(B51:B140;EQUIV(TEXTE(A51;"yyyy-mm-dd");A51:A140;0));0)</f>
        <v/>
      </c>
      <c r="D51" s="5">
        <f>13737.22+SIERREUR(INDEX(C51:C140;EQUIV(TEXTE(A51;"yyyy-mm-dd");A51:A140;0));0)</f>
        <v/>
      </c>
      <c r="E51" s="5">
        <f>C51-D51</f>
        <v/>
      </c>
      <c r="F51" s="5">
        <f>E51+F50</f>
        <v/>
      </c>
      <c r="G51">
        <f>SI(F51&lt;0;"Critical";SI(F51&lt;100000;"Warning";SI(F51&lt;500000;"Caution";"Safe")))</f>
        <v/>
      </c>
    </row>
    <row r="52">
      <c r="A52" s="12">
        <f>B3+46</f>
        <v/>
      </c>
      <c r="B52">
        <f>TEXTE(A52;"dddd")</f>
        <v/>
      </c>
      <c r="C52" s="5">
        <f>104106.61+SIERREUR(INDEX(B51:B140;EQUIV(TEXTE(A52;"yyyy-mm-dd");A51:A140;0));0)</f>
        <v/>
      </c>
      <c r="D52" s="5">
        <f>13737.22+SIERREUR(INDEX(C51:C140;EQUIV(TEXTE(A52;"yyyy-mm-dd");A51:A140;0));0)</f>
        <v/>
      </c>
      <c r="E52" s="5">
        <f>C52-D52</f>
        <v/>
      </c>
      <c r="F52" s="5">
        <f>E52+F51</f>
        <v/>
      </c>
      <c r="G52">
        <f>SI(F52&lt;0;"Critical";SI(F52&lt;100000;"Warning";SI(F52&lt;500000;"Caution";"Safe")))</f>
        <v/>
      </c>
    </row>
    <row r="53">
      <c r="A53" s="12">
        <f>B3+47</f>
        <v/>
      </c>
      <c r="B53">
        <f>TEXTE(A53;"dddd")</f>
        <v/>
      </c>
      <c r="C53" s="5">
        <f>104106.61+SIERREUR(INDEX(B51:B140;EQUIV(TEXTE(A53;"yyyy-mm-dd");A51:A140;0));0)</f>
        <v/>
      </c>
      <c r="D53" s="5">
        <f>13737.22+SIERREUR(INDEX(C51:C140;EQUIV(TEXTE(A53;"yyyy-mm-dd");A51:A140;0));0)</f>
        <v/>
      </c>
      <c r="E53" s="5">
        <f>C53-D53</f>
        <v/>
      </c>
      <c r="F53" s="5">
        <f>E53+F52</f>
        <v/>
      </c>
      <c r="G53">
        <f>SI(F53&lt;0;"Critical";SI(F53&lt;100000;"Warning";SI(F53&lt;500000;"Caution";"Safe")))</f>
        <v/>
      </c>
    </row>
    <row r="54">
      <c r="A54" s="12">
        <f>B3+48</f>
        <v/>
      </c>
      <c r="B54">
        <f>TEXTE(A54;"dddd")</f>
        <v/>
      </c>
      <c r="C54" s="5">
        <f>104106.61+SIERREUR(INDEX(B51:B140;EQUIV(TEXTE(A54;"yyyy-mm-dd");A51:A140;0));0)</f>
        <v/>
      </c>
      <c r="D54" s="5">
        <f>13737.22+SIERREUR(INDEX(C51:C140;EQUIV(TEXTE(A54;"yyyy-mm-dd");A51:A140;0));0)</f>
        <v/>
      </c>
      <c r="E54" s="5">
        <f>C54-D54</f>
        <v/>
      </c>
      <c r="F54" s="5">
        <f>E54+F53</f>
        <v/>
      </c>
      <c r="G54">
        <f>SI(F54&lt;0;"Critical";SI(F54&lt;100000;"Warning";SI(F54&lt;500000;"Caution";"Safe")))</f>
        <v/>
      </c>
    </row>
    <row r="55">
      <c r="A55" s="12">
        <f>B3+49</f>
        <v/>
      </c>
      <c r="B55">
        <f>TEXTE(A55;"dddd")</f>
        <v/>
      </c>
      <c r="C55" s="5">
        <f>104106.61+SIERREUR(INDEX(B51:B140;EQUIV(TEXTE(A55;"yyyy-mm-dd");A51:A140;0));0)</f>
        <v/>
      </c>
      <c r="D55" s="5">
        <f>13737.22+SIERREUR(INDEX(C51:C140;EQUIV(TEXTE(A55;"yyyy-mm-dd");A51:A140;0));0)</f>
        <v/>
      </c>
      <c r="E55" s="5">
        <f>C55-D55</f>
        <v/>
      </c>
      <c r="F55" s="5">
        <f>E55+F54</f>
        <v/>
      </c>
      <c r="G55">
        <f>SI(F55&lt;0;"Critical";SI(F55&lt;100000;"Warning";SI(F55&lt;500000;"Caution";"Safe")))</f>
        <v/>
      </c>
    </row>
    <row r="56">
      <c r="A56" s="12">
        <f>B3+50</f>
        <v/>
      </c>
      <c r="B56">
        <f>TEXTE(A56;"dddd")</f>
        <v/>
      </c>
      <c r="C56" s="5">
        <f>104106.61+SIERREUR(INDEX(B51:B140;EQUIV(TEXTE(A56;"yyyy-mm-dd");A51:A140;0));0)</f>
        <v/>
      </c>
      <c r="D56" s="5">
        <f>13737.22+SIERREUR(INDEX(C51:C140;EQUIV(TEXTE(A56;"yyyy-mm-dd");A51:A140;0));0)</f>
        <v/>
      </c>
      <c r="E56" s="5">
        <f>C56-D56</f>
        <v/>
      </c>
      <c r="F56" s="5">
        <f>E56+F55</f>
        <v/>
      </c>
      <c r="G56">
        <f>SI(F56&lt;0;"Critical";SI(F56&lt;100000;"Warning";SI(F56&lt;500000;"Caution";"Safe")))</f>
        <v/>
      </c>
    </row>
    <row r="57">
      <c r="A57" s="12">
        <f>B3+51</f>
        <v/>
      </c>
      <c r="B57">
        <f>TEXTE(A57;"dddd")</f>
        <v/>
      </c>
      <c r="C57" s="5">
        <f>104106.61+SIERREUR(INDEX(B51:B140;EQUIV(TEXTE(A57;"yyyy-mm-dd");A51:A140;0));0)</f>
        <v/>
      </c>
      <c r="D57" s="5">
        <f>13737.22+SIERREUR(INDEX(C51:C140;EQUIV(TEXTE(A57;"yyyy-mm-dd");A51:A140;0));0)</f>
        <v/>
      </c>
      <c r="E57" s="5">
        <f>C57-D57</f>
        <v/>
      </c>
      <c r="F57" s="5">
        <f>E57+F56</f>
        <v/>
      </c>
      <c r="G57">
        <f>SI(F57&lt;0;"Critical";SI(F57&lt;100000;"Warning";SI(F57&lt;500000;"Caution";"Safe")))</f>
        <v/>
      </c>
    </row>
    <row r="58">
      <c r="A58" s="12">
        <f>B3+52</f>
        <v/>
      </c>
      <c r="B58">
        <f>TEXTE(A58;"dddd")</f>
        <v/>
      </c>
      <c r="C58" s="5">
        <f>104106.61+SIERREUR(INDEX(B51:B140;EQUIV(TEXTE(A58;"yyyy-mm-dd");A51:A140;0));0)</f>
        <v/>
      </c>
      <c r="D58" s="5">
        <f>13737.22+SIERREUR(INDEX(C51:C140;EQUIV(TEXTE(A58;"yyyy-mm-dd");A51:A140;0));0)</f>
        <v/>
      </c>
      <c r="E58" s="5">
        <f>C58-D58</f>
        <v/>
      </c>
      <c r="F58" s="5">
        <f>E58+F57</f>
        <v/>
      </c>
      <c r="G58">
        <f>SI(F58&lt;0;"Critical";SI(F58&lt;100000;"Warning";SI(F58&lt;500000;"Caution";"Safe")))</f>
        <v/>
      </c>
    </row>
    <row r="59">
      <c r="A59" s="12">
        <f>B3+53</f>
        <v/>
      </c>
      <c r="B59">
        <f>TEXTE(A59;"dddd")</f>
        <v/>
      </c>
      <c r="C59" s="5">
        <f>104106.61+SIERREUR(INDEX(B51:B140;EQUIV(TEXTE(A59;"yyyy-mm-dd");A51:A140;0));0)</f>
        <v/>
      </c>
      <c r="D59" s="5">
        <f>13737.22+SIERREUR(INDEX(C51:C140;EQUIV(TEXTE(A59;"yyyy-mm-dd");A51:A140;0));0)</f>
        <v/>
      </c>
      <c r="E59" s="5">
        <f>C59-D59</f>
        <v/>
      </c>
      <c r="F59" s="5">
        <f>E59+F58</f>
        <v/>
      </c>
      <c r="G59">
        <f>SI(F59&lt;0;"Critical";SI(F59&lt;100000;"Warning";SI(F59&lt;500000;"Caution";"Safe")))</f>
        <v/>
      </c>
    </row>
    <row r="60">
      <c r="A60" s="12">
        <f>B3+54</f>
        <v/>
      </c>
      <c r="B60">
        <f>TEXTE(A60;"dddd")</f>
        <v/>
      </c>
      <c r="C60" s="5">
        <f>104106.61+SIERREUR(INDEX(B51:B140;EQUIV(TEXTE(A60;"yyyy-mm-dd");A51:A140;0));0)</f>
        <v/>
      </c>
      <c r="D60" s="5">
        <f>13737.22+SIERREUR(INDEX(C51:C140;EQUIV(TEXTE(A60;"yyyy-mm-dd");A51:A140;0));0)</f>
        <v/>
      </c>
      <c r="E60" s="5">
        <f>C60-D60</f>
        <v/>
      </c>
      <c r="F60" s="5">
        <f>E60+F59</f>
        <v/>
      </c>
      <c r="G60">
        <f>SI(F60&lt;0;"Critical";SI(F60&lt;100000;"Warning";SI(F60&lt;500000;"Caution";"Safe")))</f>
        <v/>
      </c>
    </row>
    <row r="61">
      <c r="A61" s="12">
        <f>B3+55</f>
        <v/>
      </c>
      <c r="B61">
        <f>TEXTE(A61;"dddd")</f>
        <v/>
      </c>
      <c r="C61" s="5">
        <f>104106.61+SIERREUR(INDEX(B51:B140;EQUIV(TEXTE(A61;"yyyy-mm-dd");A51:A140;0));0)</f>
        <v/>
      </c>
      <c r="D61" s="5">
        <f>13737.22+SIERREUR(INDEX(C51:C140;EQUIV(TEXTE(A61;"yyyy-mm-dd");A51:A140;0));0)</f>
        <v/>
      </c>
      <c r="E61" s="5">
        <f>C61-D61</f>
        <v/>
      </c>
      <c r="F61" s="5">
        <f>E61+F60</f>
        <v/>
      </c>
      <c r="G61">
        <f>SI(F61&lt;0;"Critical";SI(F61&lt;100000;"Warning";SI(F61&lt;500000;"Caution";"Safe")))</f>
        <v/>
      </c>
    </row>
    <row r="62">
      <c r="A62" s="12">
        <f>B3+56</f>
        <v/>
      </c>
      <c r="B62">
        <f>TEXTE(A62;"dddd")</f>
        <v/>
      </c>
      <c r="C62" s="5">
        <f>104106.61+SIERREUR(INDEX(B51:B140;EQUIV(TEXTE(A62;"yyyy-mm-dd");A51:A140;0));0)</f>
        <v/>
      </c>
      <c r="D62" s="5">
        <f>13737.22+SIERREUR(INDEX(C51:C140;EQUIV(TEXTE(A62;"yyyy-mm-dd");A51:A140;0));0)</f>
        <v/>
      </c>
      <c r="E62" s="5">
        <f>C62-D62</f>
        <v/>
      </c>
      <c r="F62" s="5">
        <f>E62+F61</f>
        <v/>
      </c>
      <c r="G62">
        <f>SI(F62&lt;0;"Critical";SI(F62&lt;100000;"Warning";SI(F62&lt;500000;"Caution";"Safe")))</f>
        <v/>
      </c>
    </row>
    <row r="63">
      <c r="A63" s="12">
        <f>B3+57</f>
        <v/>
      </c>
      <c r="B63">
        <f>TEXTE(A63;"dddd")</f>
        <v/>
      </c>
      <c r="C63" s="5">
        <f>104106.61+SIERREUR(INDEX(B51:B140;EQUIV(TEXTE(A63;"yyyy-mm-dd");A51:A140;0));0)</f>
        <v/>
      </c>
      <c r="D63" s="5">
        <f>13737.22+SIERREUR(INDEX(C51:C140;EQUIV(TEXTE(A63;"yyyy-mm-dd");A51:A140;0));0)</f>
        <v/>
      </c>
      <c r="E63" s="5">
        <f>C63-D63</f>
        <v/>
      </c>
      <c r="F63" s="5">
        <f>E63+F62</f>
        <v/>
      </c>
      <c r="G63">
        <f>SI(F63&lt;0;"Critical";SI(F63&lt;100000;"Warning";SI(F63&lt;500000;"Caution";"Safe")))</f>
        <v/>
      </c>
    </row>
    <row r="64">
      <c r="A64" s="12">
        <f>B3+58</f>
        <v/>
      </c>
      <c r="B64">
        <f>TEXTE(A64;"dddd")</f>
        <v/>
      </c>
      <c r="C64" s="5">
        <f>104106.61+SIERREUR(INDEX(B51:B140;EQUIV(TEXTE(A64;"yyyy-mm-dd");A51:A140;0));0)</f>
        <v/>
      </c>
      <c r="D64" s="5">
        <f>13737.22+SIERREUR(INDEX(C51:C140;EQUIV(TEXTE(A64;"yyyy-mm-dd");A51:A140;0));0)</f>
        <v/>
      </c>
      <c r="E64" s="5">
        <f>C64-D64</f>
        <v/>
      </c>
      <c r="F64" s="5">
        <f>E64+F63</f>
        <v/>
      </c>
      <c r="G64">
        <f>SI(F64&lt;0;"Critical";SI(F64&lt;100000;"Warning";SI(F64&lt;500000;"Caution";"Safe")))</f>
        <v/>
      </c>
    </row>
    <row r="65">
      <c r="A65" s="12">
        <f>B3+59</f>
        <v/>
      </c>
      <c r="B65">
        <f>TEXTE(A65;"dddd")</f>
        <v/>
      </c>
      <c r="C65" s="5">
        <f>104106.61+SIERREUR(INDEX(B51:B140;EQUIV(TEXTE(A65;"yyyy-mm-dd");A51:A140;0));0)</f>
        <v/>
      </c>
      <c r="D65" s="5">
        <f>13737.22+SIERREUR(INDEX(C51:C140;EQUIV(TEXTE(A65;"yyyy-mm-dd");A51:A140;0));0)</f>
        <v/>
      </c>
      <c r="E65" s="5">
        <f>C65-D65</f>
        <v/>
      </c>
      <c r="F65" s="5">
        <f>E65+F64</f>
        <v/>
      </c>
      <c r="G65">
        <f>SI(F65&lt;0;"Critical";SI(F65&lt;100000;"Warning";SI(F65&lt;500000;"Caution";"Safe")))</f>
        <v/>
      </c>
    </row>
    <row r="66">
      <c r="A66" s="12">
        <f>B3+60</f>
        <v/>
      </c>
      <c r="B66">
        <f>TEXTE(A66;"dddd")</f>
        <v/>
      </c>
      <c r="C66" s="5">
        <f>104106.61+SIERREUR(INDEX(B51:B140;EQUIV(TEXTE(A66;"yyyy-mm-dd");A51:A140;0));0)</f>
        <v/>
      </c>
      <c r="D66" s="5">
        <f>13737.22+SIERREUR(INDEX(C51:C140;EQUIV(TEXTE(A66;"yyyy-mm-dd");A51:A140;0));0)</f>
        <v/>
      </c>
      <c r="E66" s="5">
        <f>C66-D66</f>
        <v/>
      </c>
      <c r="F66" s="5">
        <f>E66+F65</f>
        <v/>
      </c>
      <c r="G66">
        <f>SI(F66&lt;0;"Critical";SI(F66&lt;100000;"Warning";SI(F66&lt;500000;"Caution";"Safe")))</f>
        <v/>
      </c>
    </row>
    <row r="67">
      <c r="A67" s="12">
        <f>B3+61</f>
        <v/>
      </c>
      <c r="B67">
        <f>TEXTE(A67;"dddd")</f>
        <v/>
      </c>
      <c r="C67" s="5">
        <f>104106.61+SIERREUR(INDEX(B51:B140;EQUIV(TEXTE(A67;"yyyy-mm-dd");A51:A140;0));0)</f>
        <v/>
      </c>
      <c r="D67" s="5">
        <f>13737.22+SIERREUR(INDEX(C51:C140;EQUIV(TEXTE(A67;"yyyy-mm-dd");A51:A140;0));0)</f>
        <v/>
      </c>
      <c r="E67" s="5">
        <f>C67-D67</f>
        <v/>
      </c>
      <c r="F67" s="5">
        <f>E67+F66</f>
        <v/>
      </c>
      <c r="G67">
        <f>SI(F67&lt;0;"Critical";SI(F67&lt;100000;"Warning";SI(F67&lt;500000;"Caution";"Safe")))</f>
        <v/>
      </c>
    </row>
    <row r="68">
      <c r="A68" s="12">
        <f>B3+62</f>
        <v/>
      </c>
      <c r="B68">
        <f>TEXTE(A68;"dddd")</f>
        <v/>
      </c>
      <c r="C68" s="5">
        <f>104106.61+SIERREUR(INDEX(B51:B140;EQUIV(TEXTE(A68;"yyyy-mm-dd");A51:A140;0));0)</f>
        <v/>
      </c>
      <c r="D68" s="5">
        <f>13737.22+SIERREUR(INDEX(C51:C140;EQUIV(TEXTE(A68;"yyyy-mm-dd");A51:A140;0));0)</f>
        <v/>
      </c>
      <c r="E68" s="5">
        <f>C68-D68</f>
        <v/>
      </c>
      <c r="F68" s="5">
        <f>E68+F67</f>
        <v/>
      </c>
      <c r="G68">
        <f>SI(F68&lt;0;"Critical";SI(F68&lt;100000;"Warning";SI(F68&lt;500000;"Caution";"Safe")))</f>
        <v/>
      </c>
    </row>
    <row r="69">
      <c r="A69" s="12">
        <f>B3+63</f>
        <v/>
      </c>
      <c r="B69">
        <f>TEXTE(A69;"dddd")</f>
        <v/>
      </c>
      <c r="C69" s="5">
        <f>104106.61+SIERREUR(INDEX(B51:B140;EQUIV(TEXTE(A69;"yyyy-mm-dd");A51:A140;0));0)</f>
        <v/>
      </c>
      <c r="D69" s="5">
        <f>13737.22+SIERREUR(INDEX(C51:C140;EQUIV(TEXTE(A69;"yyyy-mm-dd");A51:A140;0));0)</f>
        <v/>
      </c>
      <c r="E69" s="5">
        <f>C69-D69</f>
        <v/>
      </c>
      <c r="F69" s="5">
        <f>E69+F68</f>
        <v/>
      </c>
      <c r="G69">
        <f>SI(F69&lt;0;"Critical";SI(F69&lt;100000;"Warning";SI(F69&lt;500000;"Caution";"Safe")))</f>
        <v/>
      </c>
    </row>
    <row r="70">
      <c r="A70" s="12">
        <f>B3+64</f>
        <v/>
      </c>
      <c r="B70">
        <f>TEXTE(A70;"dddd")</f>
        <v/>
      </c>
      <c r="C70" s="5">
        <f>104106.61+SIERREUR(INDEX(B51:B140;EQUIV(TEXTE(A70;"yyyy-mm-dd");A51:A140;0));0)</f>
        <v/>
      </c>
      <c r="D70" s="5">
        <f>13737.22+SIERREUR(INDEX(C51:C140;EQUIV(TEXTE(A70;"yyyy-mm-dd");A51:A140;0));0)</f>
        <v/>
      </c>
      <c r="E70" s="5">
        <f>C70-D70</f>
        <v/>
      </c>
      <c r="F70" s="5">
        <f>E70+F69</f>
        <v/>
      </c>
      <c r="G70">
        <f>SI(F70&lt;0;"Critical";SI(F70&lt;100000;"Warning";SI(F70&lt;500000;"Caution";"Safe")))</f>
        <v/>
      </c>
    </row>
    <row r="71">
      <c r="A71" s="12">
        <f>B3+65</f>
        <v/>
      </c>
      <c r="B71">
        <f>TEXTE(A71;"dddd")</f>
        <v/>
      </c>
      <c r="C71" s="5">
        <f>104106.61+SIERREUR(INDEX(B51:B140;EQUIV(TEXTE(A71;"yyyy-mm-dd");A51:A140;0));0)</f>
        <v/>
      </c>
      <c r="D71" s="5">
        <f>13737.22+SIERREUR(INDEX(C51:C140;EQUIV(TEXTE(A71;"yyyy-mm-dd");A51:A140;0));0)</f>
        <v/>
      </c>
      <c r="E71" s="5">
        <f>C71-D71</f>
        <v/>
      </c>
      <c r="F71" s="5">
        <f>E71+F70</f>
        <v/>
      </c>
      <c r="G71">
        <f>SI(F71&lt;0;"Critical";SI(F71&lt;100000;"Warning";SI(F71&lt;500000;"Caution";"Safe")))</f>
        <v/>
      </c>
    </row>
    <row r="72">
      <c r="A72" s="12">
        <f>B3+66</f>
        <v/>
      </c>
      <c r="B72">
        <f>TEXTE(A72;"dddd")</f>
        <v/>
      </c>
      <c r="C72" s="5">
        <f>104106.61+SIERREUR(INDEX(B51:B140;EQUIV(TEXTE(A72;"yyyy-mm-dd");A51:A140;0));0)</f>
        <v/>
      </c>
      <c r="D72" s="5">
        <f>13737.22+SIERREUR(INDEX(C51:C140;EQUIV(TEXTE(A72;"yyyy-mm-dd");A51:A140;0));0)</f>
        <v/>
      </c>
      <c r="E72" s="5">
        <f>C72-D72</f>
        <v/>
      </c>
      <c r="F72" s="5">
        <f>E72+F71</f>
        <v/>
      </c>
      <c r="G72">
        <f>SI(F72&lt;0;"Critical";SI(F72&lt;100000;"Warning";SI(F72&lt;500000;"Caution";"Safe")))</f>
        <v/>
      </c>
    </row>
    <row r="73">
      <c r="A73" s="12">
        <f>B3+67</f>
        <v/>
      </c>
      <c r="B73">
        <f>TEXTE(A73;"dddd")</f>
        <v/>
      </c>
      <c r="C73" s="5">
        <f>104106.61+SIERREUR(INDEX(B51:B140;EQUIV(TEXTE(A73;"yyyy-mm-dd");A51:A140;0));0)</f>
        <v/>
      </c>
      <c r="D73" s="5">
        <f>13737.22+SIERREUR(INDEX(C51:C140;EQUIV(TEXTE(A73;"yyyy-mm-dd");A51:A140;0));0)</f>
        <v/>
      </c>
      <c r="E73" s="5">
        <f>C73-D73</f>
        <v/>
      </c>
      <c r="F73" s="5">
        <f>E73+F72</f>
        <v/>
      </c>
      <c r="G73">
        <f>SI(F73&lt;0;"Critical";SI(F73&lt;100000;"Warning";SI(F73&lt;500000;"Caution";"Safe")))</f>
        <v/>
      </c>
    </row>
    <row r="74">
      <c r="A74" s="12">
        <f>B3+68</f>
        <v/>
      </c>
      <c r="B74">
        <f>TEXTE(A74;"dddd")</f>
        <v/>
      </c>
      <c r="C74" s="5">
        <f>104106.61+SIERREUR(INDEX(B51:B140;EQUIV(TEXTE(A74;"yyyy-mm-dd");A51:A140;0));0)</f>
        <v/>
      </c>
      <c r="D74" s="5">
        <f>13737.22+SIERREUR(INDEX(C51:C140;EQUIV(TEXTE(A74;"yyyy-mm-dd");A51:A140;0));0)</f>
        <v/>
      </c>
      <c r="E74" s="5">
        <f>C74-D74</f>
        <v/>
      </c>
      <c r="F74" s="5">
        <f>E74+F73</f>
        <v/>
      </c>
      <c r="G74">
        <f>SI(F74&lt;0;"Critical";SI(F74&lt;100000;"Warning";SI(F74&lt;500000;"Caution";"Safe")))</f>
        <v/>
      </c>
    </row>
    <row r="75">
      <c r="A75" s="12">
        <f>B3+69</f>
        <v/>
      </c>
      <c r="B75">
        <f>TEXTE(A75;"dddd")</f>
        <v/>
      </c>
      <c r="C75" s="5">
        <f>104106.61+SIERREUR(INDEX(B51:B140;EQUIV(TEXTE(A75;"yyyy-mm-dd");A51:A140;0));0)</f>
        <v/>
      </c>
      <c r="D75" s="5">
        <f>13737.22+SIERREUR(INDEX(C51:C140;EQUIV(TEXTE(A75;"yyyy-mm-dd");A51:A140;0));0)</f>
        <v/>
      </c>
      <c r="E75" s="5">
        <f>C75-D75</f>
        <v/>
      </c>
      <c r="F75" s="5">
        <f>E75+F74</f>
        <v/>
      </c>
      <c r="G75">
        <f>SI(F75&lt;0;"Critical";SI(F75&lt;100000;"Warning";SI(F75&lt;500000;"Caution";"Safe")))</f>
        <v/>
      </c>
    </row>
    <row r="76">
      <c r="A76" s="12">
        <f>B3+70</f>
        <v/>
      </c>
      <c r="B76">
        <f>TEXTE(A76;"dddd")</f>
        <v/>
      </c>
      <c r="C76" s="5">
        <f>104106.61+SIERREUR(INDEX(B51:B140;EQUIV(TEXTE(A76;"yyyy-mm-dd");A51:A140;0));0)</f>
        <v/>
      </c>
      <c r="D76" s="5">
        <f>13737.22+SIERREUR(INDEX(C51:C140;EQUIV(TEXTE(A76;"yyyy-mm-dd");A51:A140;0));0)</f>
        <v/>
      </c>
      <c r="E76" s="5">
        <f>C76-D76</f>
        <v/>
      </c>
      <c r="F76" s="5">
        <f>E76+F75</f>
        <v/>
      </c>
      <c r="G76">
        <f>SI(F76&lt;0;"Critical";SI(F76&lt;100000;"Warning";SI(F76&lt;500000;"Caution";"Safe")))</f>
        <v/>
      </c>
    </row>
    <row r="77">
      <c r="A77" s="12">
        <f>B3+71</f>
        <v/>
      </c>
      <c r="B77">
        <f>TEXTE(A77;"dddd")</f>
        <v/>
      </c>
      <c r="C77" s="5">
        <f>104106.61+SIERREUR(INDEX(B51:B140;EQUIV(TEXTE(A77;"yyyy-mm-dd");A51:A140;0));0)</f>
        <v/>
      </c>
      <c r="D77" s="5">
        <f>13737.22+SIERREUR(INDEX(C51:C140;EQUIV(TEXTE(A77;"yyyy-mm-dd");A51:A140;0));0)</f>
        <v/>
      </c>
      <c r="E77" s="5">
        <f>C77-D77</f>
        <v/>
      </c>
      <c r="F77" s="5">
        <f>E77+F76</f>
        <v/>
      </c>
      <c r="G77">
        <f>SI(F77&lt;0;"Critical";SI(F77&lt;100000;"Warning";SI(F77&lt;500000;"Caution";"Safe")))</f>
        <v/>
      </c>
    </row>
    <row r="78">
      <c r="A78" s="12">
        <f>B3+72</f>
        <v/>
      </c>
      <c r="B78">
        <f>TEXTE(A78;"dddd")</f>
        <v/>
      </c>
      <c r="C78" s="5">
        <f>104106.61+SIERREUR(INDEX(B51:B140;EQUIV(TEXTE(A78;"yyyy-mm-dd");A51:A140;0));0)</f>
        <v/>
      </c>
      <c r="D78" s="5">
        <f>13737.22+SIERREUR(INDEX(C51:C140;EQUIV(TEXTE(A78;"yyyy-mm-dd");A51:A140;0));0)</f>
        <v/>
      </c>
      <c r="E78" s="5">
        <f>C78-D78</f>
        <v/>
      </c>
      <c r="F78" s="5">
        <f>E78+F77</f>
        <v/>
      </c>
      <c r="G78">
        <f>SI(F78&lt;0;"Critical";SI(F78&lt;100000;"Warning";SI(F78&lt;500000;"Caution";"Safe")))</f>
        <v/>
      </c>
    </row>
    <row r="79">
      <c r="A79" s="12">
        <f>B3+73</f>
        <v/>
      </c>
      <c r="B79">
        <f>TEXTE(A79;"dddd")</f>
        <v/>
      </c>
      <c r="C79" s="5">
        <f>104106.61+SIERREUR(INDEX(B51:B140;EQUIV(TEXTE(A79;"yyyy-mm-dd");A51:A140;0));0)</f>
        <v/>
      </c>
      <c r="D79" s="5">
        <f>13737.22+SIERREUR(INDEX(C51:C140;EQUIV(TEXTE(A79;"yyyy-mm-dd");A51:A140;0));0)</f>
        <v/>
      </c>
      <c r="E79" s="5">
        <f>C79-D79</f>
        <v/>
      </c>
      <c r="F79" s="5">
        <f>E79+F78</f>
        <v/>
      </c>
      <c r="G79">
        <f>SI(F79&lt;0;"Critical";SI(F79&lt;100000;"Warning";SI(F79&lt;500000;"Caution";"Safe")))</f>
        <v/>
      </c>
    </row>
    <row r="80">
      <c r="A80" s="12">
        <f>B3+74</f>
        <v/>
      </c>
      <c r="B80">
        <f>TEXTE(A80;"dddd")</f>
        <v/>
      </c>
      <c r="C80" s="5">
        <f>104106.61+SIERREUR(INDEX(B51:B140;EQUIV(TEXTE(A80;"yyyy-mm-dd");A51:A140;0));0)</f>
        <v/>
      </c>
      <c r="D80" s="5">
        <f>13737.22+SIERREUR(INDEX(C51:C140;EQUIV(TEXTE(A80;"yyyy-mm-dd");A51:A140;0));0)</f>
        <v/>
      </c>
      <c r="E80" s="5">
        <f>C80-D80</f>
        <v/>
      </c>
      <c r="F80" s="5">
        <f>E80+F79</f>
        <v/>
      </c>
      <c r="G80">
        <f>SI(F80&lt;0;"Critical";SI(F80&lt;100000;"Warning";SI(F80&lt;500000;"Caution";"Safe")))</f>
        <v/>
      </c>
    </row>
    <row r="81">
      <c r="A81" s="12">
        <f>B3+75</f>
        <v/>
      </c>
      <c r="B81">
        <f>TEXTE(A81;"dddd")</f>
        <v/>
      </c>
      <c r="C81" s="5">
        <f>104106.61+SIERREUR(INDEX(B51:B140;EQUIV(TEXTE(A81;"yyyy-mm-dd");A51:A140;0));0)</f>
        <v/>
      </c>
      <c r="D81" s="5">
        <f>13737.22+SIERREUR(INDEX(C51:C140;EQUIV(TEXTE(A81;"yyyy-mm-dd");A51:A140;0));0)</f>
        <v/>
      </c>
      <c r="E81" s="5">
        <f>C81-D81</f>
        <v/>
      </c>
      <c r="F81" s="5">
        <f>E81+F80</f>
        <v/>
      </c>
      <c r="G81">
        <f>SI(F81&lt;0;"Critical";SI(F81&lt;100000;"Warning";SI(F81&lt;500000;"Caution";"Safe")))</f>
        <v/>
      </c>
    </row>
    <row r="82">
      <c r="A82" s="12">
        <f>B3+76</f>
        <v/>
      </c>
      <c r="B82">
        <f>TEXTE(A82;"dddd")</f>
        <v/>
      </c>
      <c r="C82" s="5">
        <f>104106.61+SIERREUR(INDEX(B51:B140;EQUIV(TEXTE(A82;"yyyy-mm-dd");A51:A140;0));0)</f>
        <v/>
      </c>
      <c r="D82" s="5">
        <f>13737.22+SIERREUR(INDEX(C51:C140;EQUIV(TEXTE(A82;"yyyy-mm-dd");A51:A140;0));0)</f>
        <v/>
      </c>
      <c r="E82" s="5">
        <f>C82-D82</f>
        <v/>
      </c>
      <c r="F82" s="5">
        <f>E82+F81</f>
        <v/>
      </c>
      <c r="G82">
        <f>SI(F82&lt;0;"Critical";SI(F82&lt;100000;"Warning";SI(F82&lt;500000;"Caution";"Safe")))</f>
        <v/>
      </c>
    </row>
    <row r="83">
      <c r="A83" s="12">
        <f>B3+77</f>
        <v/>
      </c>
      <c r="B83">
        <f>TEXTE(A83;"dddd")</f>
        <v/>
      </c>
      <c r="C83" s="5">
        <f>104106.61+SIERREUR(INDEX(B51:B140;EQUIV(TEXTE(A83;"yyyy-mm-dd");A51:A140;0));0)</f>
        <v/>
      </c>
      <c r="D83" s="5">
        <f>13737.22+SIERREUR(INDEX(C51:C140;EQUIV(TEXTE(A83;"yyyy-mm-dd");A51:A140;0));0)</f>
        <v/>
      </c>
      <c r="E83" s="5">
        <f>C83-D83</f>
        <v/>
      </c>
      <c r="F83" s="5">
        <f>E83+F82</f>
        <v/>
      </c>
      <c r="G83">
        <f>SI(F83&lt;0;"Critical";SI(F83&lt;100000;"Warning";SI(F83&lt;500000;"Caution";"Safe")))</f>
        <v/>
      </c>
    </row>
    <row r="84">
      <c r="A84" s="12">
        <f>B3+78</f>
        <v/>
      </c>
      <c r="B84">
        <f>TEXTE(A84;"dddd")</f>
        <v/>
      </c>
      <c r="C84" s="5">
        <f>104106.61+SIERREUR(INDEX(B51:B140;EQUIV(TEXTE(A84;"yyyy-mm-dd");A51:A140;0));0)</f>
        <v/>
      </c>
      <c r="D84" s="5">
        <f>13737.22+SIERREUR(INDEX(C51:C140;EQUIV(TEXTE(A84;"yyyy-mm-dd");A51:A140;0));0)</f>
        <v/>
      </c>
      <c r="E84" s="5">
        <f>C84-D84</f>
        <v/>
      </c>
      <c r="F84" s="5">
        <f>E84+F83</f>
        <v/>
      </c>
      <c r="G84">
        <f>SI(F84&lt;0;"Critical";SI(F84&lt;100000;"Warning";SI(F84&lt;500000;"Caution";"Safe")))</f>
        <v/>
      </c>
    </row>
    <row r="85">
      <c r="A85" s="12">
        <f>B3+79</f>
        <v/>
      </c>
      <c r="B85">
        <f>TEXTE(A85;"dddd")</f>
        <v/>
      </c>
      <c r="C85" s="5">
        <f>104106.61+SIERREUR(INDEX(B51:B140;EQUIV(TEXTE(A85;"yyyy-mm-dd");A51:A140;0));0)</f>
        <v/>
      </c>
      <c r="D85" s="5">
        <f>13737.22+SIERREUR(INDEX(C51:C140;EQUIV(TEXTE(A85;"yyyy-mm-dd");A51:A140;0));0)</f>
        <v/>
      </c>
      <c r="E85" s="5">
        <f>C85-D85</f>
        <v/>
      </c>
      <c r="F85" s="5">
        <f>E85+F84</f>
        <v/>
      </c>
      <c r="G85">
        <f>SI(F85&lt;0;"Critical";SI(F85&lt;100000;"Warning";SI(F85&lt;500000;"Caution";"Safe")))</f>
        <v/>
      </c>
    </row>
    <row r="86">
      <c r="A86" s="12">
        <f>B3+80</f>
        <v/>
      </c>
      <c r="B86">
        <f>TEXTE(A86;"dddd")</f>
        <v/>
      </c>
      <c r="C86" s="5">
        <f>104106.61+SIERREUR(INDEX(B51:B140;EQUIV(TEXTE(A86;"yyyy-mm-dd");A51:A140;0));0)</f>
        <v/>
      </c>
      <c r="D86" s="5">
        <f>13737.22+SIERREUR(INDEX(C51:C140;EQUIV(TEXTE(A86;"yyyy-mm-dd");A51:A140;0));0)</f>
        <v/>
      </c>
      <c r="E86" s="5">
        <f>C86-D86</f>
        <v/>
      </c>
      <c r="F86" s="5">
        <f>E86+F85</f>
        <v/>
      </c>
      <c r="G86">
        <f>SI(F86&lt;0;"Critical";SI(F86&lt;100000;"Warning";SI(F86&lt;500000;"Caution";"Safe")))</f>
        <v/>
      </c>
    </row>
    <row r="87">
      <c r="A87" s="12">
        <f>B3+81</f>
        <v/>
      </c>
      <c r="B87">
        <f>TEXTE(A87;"dddd")</f>
        <v/>
      </c>
      <c r="C87" s="5">
        <f>104106.61+SIERREUR(INDEX(B51:B140;EQUIV(TEXTE(A87;"yyyy-mm-dd");A51:A140;0));0)</f>
        <v/>
      </c>
      <c r="D87" s="5">
        <f>13737.22+SIERREUR(INDEX(C51:C140;EQUIV(TEXTE(A87;"yyyy-mm-dd");A51:A140;0));0)</f>
        <v/>
      </c>
      <c r="E87" s="5">
        <f>C87-D87</f>
        <v/>
      </c>
      <c r="F87" s="5">
        <f>E87+F86</f>
        <v/>
      </c>
      <c r="G87">
        <f>SI(F87&lt;0;"Critical";SI(F87&lt;100000;"Warning";SI(F87&lt;500000;"Caution";"Safe")))</f>
        <v/>
      </c>
    </row>
    <row r="88">
      <c r="A88" s="12">
        <f>B3+82</f>
        <v/>
      </c>
      <c r="B88">
        <f>TEXTE(A88;"dddd")</f>
        <v/>
      </c>
      <c r="C88" s="5">
        <f>104106.61+SIERREUR(INDEX(B51:B140;EQUIV(TEXTE(A88;"yyyy-mm-dd");A51:A140;0));0)</f>
        <v/>
      </c>
      <c r="D88" s="5">
        <f>13737.22+SIERREUR(INDEX(C51:C140;EQUIV(TEXTE(A88;"yyyy-mm-dd");A51:A140;0));0)</f>
        <v/>
      </c>
      <c r="E88" s="5">
        <f>C88-D88</f>
        <v/>
      </c>
      <c r="F88" s="5">
        <f>E88+F87</f>
        <v/>
      </c>
      <c r="G88">
        <f>SI(F88&lt;0;"Critical";SI(F88&lt;100000;"Warning";SI(F88&lt;500000;"Caution";"Safe")))</f>
        <v/>
      </c>
    </row>
    <row r="89">
      <c r="A89" s="12">
        <f>B3+83</f>
        <v/>
      </c>
      <c r="B89">
        <f>TEXTE(A89;"dddd")</f>
        <v/>
      </c>
      <c r="C89" s="5">
        <f>104106.61+SIERREUR(INDEX(B51:B140;EQUIV(TEXTE(A89;"yyyy-mm-dd");A51:A140;0));0)</f>
        <v/>
      </c>
      <c r="D89" s="5">
        <f>13737.22+SIERREUR(INDEX(C51:C140;EQUIV(TEXTE(A89;"yyyy-mm-dd");A51:A140;0));0)</f>
        <v/>
      </c>
      <c r="E89" s="5">
        <f>C89-D89</f>
        <v/>
      </c>
      <c r="F89" s="5">
        <f>E89+F88</f>
        <v/>
      </c>
      <c r="G89">
        <f>SI(F89&lt;0;"Critical";SI(F89&lt;100000;"Warning";SI(F89&lt;500000;"Caution";"Safe")))</f>
        <v/>
      </c>
    </row>
    <row r="90">
      <c r="A90" s="12">
        <f>B3+84</f>
        <v/>
      </c>
      <c r="B90">
        <f>TEXTE(A90;"dddd")</f>
        <v/>
      </c>
      <c r="C90" s="5">
        <f>104106.61+SIERREUR(INDEX(B51:B140;EQUIV(TEXTE(A90;"yyyy-mm-dd");A51:A140;0));0)</f>
        <v/>
      </c>
      <c r="D90" s="5">
        <f>13737.22+SIERREUR(INDEX(C51:C140;EQUIV(TEXTE(A90;"yyyy-mm-dd");A51:A140;0));0)</f>
        <v/>
      </c>
      <c r="E90" s="5">
        <f>C90-D90</f>
        <v/>
      </c>
      <c r="F90" s="5">
        <f>E90+F89</f>
        <v/>
      </c>
      <c r="G90">
        <f>SI(F90&lt;0;"Critical";SI(F90&lt;100000;"Warning";SI(F90&lt;500000;"Caution";"Safe")))</f>
        <v/>
      </c>
    </row>
    <row r="91">
      <c r="A91" s="12">
        <f>B3+85</f>
        <v/>
      </c>
      <c r="B91">
        <f>TEXTE(A91;"dddd")</f>
        <v/>
      </c>
      <c r="C91" s="5">
        <f>104106.61+SIERREUR(INDEX(B51:B140;EQUIV(TEXTE(A91;"yyyy-mm-dd");A51:A140;0));0)</f>
        <v/>
      </c>
      <c r="D91" s="5">
        <f>13737.22+SIERREUR(INDEX(C51:C140;EQUIV(TEXTE(A91;"yyyy-mm-dd");A51:A140;0));0)</f>
        <v/>
      </c>
      <c r="E91" s="5">
        <f>C91-D91</f>
        <v/>
      </c>
      <c r="F91" s="5">
        <f>E91+F90</f>
        <v/>
      </c>
      <c r="G91">
        <f>SI(F91&lt;0;"Critical";SI(F91&lt;100000;"Warning";SI(F91&lt;500000;"Caution";"Safe")))</f>
        <v/>
      </c>
    </row>
    <row r="92">
      <c r="A92" s="12">
        <f>B3+86</f>
        <v/>
      </c>
      <c r="B92">
        <f>TEXTE(A92;"dddd")</f>
        <v/>
      </c>
      <c r="C92" s="5">
        <f>104106.61+SIERREUR(INDEX(B51:B140;EQUIV(TEXTE(A92;"yyyy-mm-dd");A51:A140;0));0)</f>
        <v/>
      </c>
      <c r="D92" s="5">
        <f>13737.22+SIERREUR(INDEX(C51:C140;EQUIV(TEXTE(A92;"yyyy-mm-dd");A51:A140;0));0)</f>
        <v/>
      </c>
      <c r="E92" s="5">
        <f>C92-D92</f>
        <v/>
      </c>
      <c r="F92" s="5">
        <f>E92+F91</f>
        <v/>
      </c>
      <c r="G92">
        <f>SI(F92&lt;0;"Critical";SI(F92&lt;100000;"Warning";SI(F92&lt;500000;"Caution";"Safe")))</f>
        <v/>
      </c>
    </row>
    <row r="93">
      <c r="A93" s="12">
        <f>B3+87</f>
        <v/>
      </c>
      <c r="B93">
        <f>TEXTE(A93;"dddd")</f>
        <v/>
      </c>
      <c r="C93" s="5">
        <f>104106.61+SIERREUR(INDEX(B51:B140;EQUIV(TEXTE(A93;"yyyy-mm-dd");A51:A140;0));0)</f>
        <v/>
      </c>
      <c r="D93" s="5">
        <f>13737.22+SIERREUR(INDEX(C51:C140;EQUIV(TEXTE(A93;"yyyy-mm-dd");A51:A140;0));0)</f>
        <v/>
      </c>
      <c r="E93" s="5">
        <f>C93-D93</f>
        <v/>
      </c>
      <c r="F93" s="5">
        <f>E93+F92</f>
        <v/>
      </c>
      <c r="G93">
        <f>SI(F93&lt;0;"Critical";SI(F93&lt;100000;"Warning";SI(F93&lt;500000;"Caution";"Safe")))</f>
        <v/>
      </c>
    </row>
    <row r="94">
      <c r="A94" s="12">
        <f>B3+88</f>
        <v/>
      </c>
      <c r="B94">
        <f>TEXTE(A94;"dddd")</f>
        <v/>
      </c>
      <c r="C94" s="5">
        <f>104106.61+SIERREUR(INDEX(B51:B140;EQUIV(TEXTE(A94;"yyyy-mm-dd");A51:A140;0));0)</f>
        <v/>
      </c>
      <c r="D94" s="5">
        <f>13737.22+SIERREUR(INDEX(C51:C140;EQUIV(TEXTE(A94;"yyyy-mm-dd");A51:A140;0));0)</f>
        <v/>
      </c>
      <c r="E94" s="5">
        <f>C94-D94</f>
        <v/>
      </c>
      <c r="F94" s="5">
        <f>E94+F93</f>
        <v/>
      </c>
      <c r="G94">
        <f>SI(F94&lt;0;"Critical";SI(F94&lt;100000;"Warning";SI(F94&lt;500000;"Caution";"Safe")))</f>
        <v/>
      </c>
    </row>
    <row r="95">
      <c r="A95" s="12">
        <f>B3+89</f>
        <v/>
      </c>
      <c r="B95">
        <f>TEXTE(A95;"dddd")</f>
        <v/>
      </c>
      <c r="C95" s="5">
        <f>104106.61+SIERREUR(INDEX(B51:B140;EQUIV(TEXTE(A95;"yyyy-mm-dd");A51:A140;0));0)</f>
        <v/>
      </c>
      <c r="D95" s="5">
        <f>13737.22+SIERREUR(INDEX(C51:C140;EQUIV(TEXTE(A95;"yyyy-mm-dd");A51:A140;0));0)</f>
        <v/>
      </c>
      <c r="E95" s="5">
        <f>C95-D95</f>
        <v/>
      </c>
      <c r="F95" s="5">
        <f>E95+F94</f>
        <v/>
      </c>
      <c r="G95">
        <f>SI(F95&lt;0;"Critical";SI(F95&lt;100000;"Warning";SI(F95&lt;500000;"Caution";"Safe")))</f>
        <v/>
      </c>
    </row>
    <row r="96">
      <c r="A96" t="inlineStr">
        <is>
          <t>2024-07-16</t>
        </is>
      </c>
      <c r="B96" t="n">
        <v>0</v>
      </c>
      <c r="C96" t="n">
        <v>995.65</v>
      </c>
    </row>
    <row r="97">
      <c r="A97" t="inlineStr">
        <is>
          <t>2024-07-18</t>
        </is>
      </c>
      <c r="B97" t="n">
        <v>9114.17</v>
      </c>
      <c r="C97" t="n">
        <v>0</v>
      </c>
    </row>
    <row r="98">
      <c r="A98" t="inlineStr">
        <is>
          <t>2024-07-19</t>
        </is>
      </c>
      <c r="B98" t="n">
        <v>4478.85</v>
      </c>
      <c r="C98" t="n">
        <v>7952.95</v>
      </c>
    </row>
    <row r="99">
      <c r="A99" t="inlineStr">
        <is>
          <t>2024-07-24</t>
        </is>
      </c>
      <c r="B99" t="n">
        <v>0</v>
      </c>
      <c r="C99" t="n">
        <v>10037.64</v>
      </c>
    </row>
    <row r="100">
      <c r="A100" t="inlineStr">
        <is>
          <t>2024-07-25</t>
        </is>
      </c>
      <c r="B100" t="n">
        <v>10305.83</v>
      </c>
      <c r="C100" t="n">
        <v>0</v>
      </c>
    </row>
    <row r="101">
      <c r="A101" t="inlineStr">
        <is>
          <t>2024-07-30</t>
        </is>
      </c>
      <c r="B101" t="n">
        <v>2267.74</v>
      </c>
      <c r="C101" t="n">
        <v>0</v>
      </c>
    </row>
    <row r="102">
      <c r="A102" t="inlineStr">
        <is>
          <t>2024-07-31</t>
        </is>
      </c>
      <c r="B102" t="n">
        <v>3457.46</v>
      </c>
      <c r="C102" t="n">
        <v>5123.61</v>
      </c>
    </row>
    <row r="103">
      <c r="A103" t="inlineStr">
        <is>
          <t>2024-08-01</t>
        </is>
      </c>
      <c r="B103" t="n">
        <v>0</v>
      </c>
      <c r="C103" t="n">
        <v>6202.35</v>
      </c>
    </row>
    <row r="104">
      <c r="A104" t="inlineStr">
        <is>
          <t>2024-08-03</t>
        </is>
      </c>
      <c r="B104" t="n">
        <v>3980.8</v>
      </c>
      <c r="C104" t="n">
        <v>7762.94</v>
      </c>
    </row>
    <row r="105">
      <c r="A105" t="inlineStr">
        <is>
          <t>2024-08-04</t>
        </is>
      </c>
      <c r="B105" t="n">
        <v>0</v>
      </c>
      <c r="C105" t="n">
        <v>16927.59</v>
      </c>
    </row>
    <row r="106">
      <c r="A106" t="inlineStr">
        <is>
          <t>2024-08-05</t>
        </is>
      </c>
      <c r="B106" t="n">
        <v>1124378.9</v>
      </c>
      <c r="C106" t="n">
        <v>0</v>
      </c>
    </row>
    <row r="107">
      <c r="A107" t="inlineStr">
        <is>
          <t>2024-08-07</t>
        </is>
      </c>
      <c r="B107" t="n">
        <v>6637.14</v>
      </c>
      <c r="C107" t="n">
        <v>0</v>
      </c>
    </row>
    <row r="108">
      <c r="A108" t="inlineStr">
        <is>
          <t>2024-08-08</t>
        </is>
      </c>
      <c r="B108" t="n">
        <v>33299.24</v>
      </c>
      <c r="C108" t="n">
        <v>7341.38</v>
      </c>
    </row>
    <row r="109">
      <c r="A109" t="inlineStr">
        <is>
          <t>2024-08-09</t>
        </is>
      </c>
      <c r="B109" t="n">
        <v>0</v>
      </c>
      <c r="C109" t="n">
        <v>9513.719999999999</v>
      </c>
    </row>
    <row r="110">
      <c r="A110" t="inlineStr">
        <is>
          <t>2024-08-11</t>
        </is>
      </c>
      <c r="B110" t="n">
        <v>6932.92</v>
      </c>
      <c r="C110" t="n">
        <v>0</v>
      </c>
    </row>
    <row r="111">
      <c r="A111" t="inlineStr">
        <is>
          <t>2024-08-12</t>
        </is>
      </c>
      <c r="B111" t="n">
        <v>0</v>
      </c>
      <c r="C111" t="n">
        <v>874.77</v>
      </c>
    </row>
    <row r="112">
      <c r="A112" t="inlineStr">
        <is>
          <t>2024-08-13</t>
        </is>
      </c>
      <c r="B112" t="n">
        <v>21163.21</v>
      </c>
      <c r="C112" t="n">
        <v>0</v>
      </c>
    </row>
    <row r="113">
      <c r="A113" t="inlineStr">
        <is>
          <t>2024-08-14</t>
        </is>
      </c>
      <c r="B113" t="n">
        <v>7018.4</v>
      </c>
      <c r="C113" t="n">
        <v>0</v>
      </c>
    </row>
    <row r="114">
      <c r="A114" t="inlineStr">
        <is>
          <t>2024-08-16</t>
        </is>
      </c>
      <c r="B114" t="n">
        <v>0</v>
      </c>
      <c r="C114" t="n">
        <v>3491.02</v>
      </c>
    </row>
    <row r="115">
      <c r="A115" t="inlineStr">
        <is>
          <t>2024-08-18</t>
        </is>
      </c>
      <c r="B115" t="n">
        <v>0</v>
      </c>
      <c r="C115" t="n">
        <v>2521.09</v>
      </c>
    </row>
    <row r="116">
      <c r="A116" t="inlineStr">
        <is>
          <t>2024-08-19</t>
        </is>
      </c>
      <c r="B116" t="n">
        <v>10016.06</v>
      </c>
      <c r="C116" t="n">
        <v>0</v>
      </c>
    </row>
    <row r="117">
      <c r="A117" t="inlineStr">
        <is>
          <t>2024-08-20</t>
        </is>
      </c>
      <c r="B117" t="n">
        <v>4475.95</v>
      </c>
      <c r="C117" t="n">
        <v>0</v>
      </c>
    </row>
    <row r="118">
      <c r="A118" t="inlineStr">
        <is>
          <t>2024-08-23</t>
        </is>
      </c>
      <c r="B118" t="n">
        <v>5876.2</v>
      </c>
      <c r="C118" t="n">
        <v>0</v>
      </c>
    </row>
    <row r="119">
      <c r="A119" t="inlineStr">
        <is>
          <t>2024-08-24</t>
        </is>
      </c>
      <c r="B119" t="n">
        <v>0</v>
      </c>
      <c r="C119" t="n">
        <v>3020.74</v>
      </c>
    </row>
    <row r="120">
      <c r="A120" t="inlineStr">
        <is>
          <t>2024-08-27</t>
        </is>
      </c>
      <c r="B120" t="n">
        <v>0</v>
      </c>
      <c r="C120" t="n">
        <v>3902.15</v>
      </c>
    </row>
    <row r="121">
      <c r="A121" t="inlineStr">
        <is>
          <t>2024-08-28</t>
        </is>
      </c>
      <c r="B121" t="n">
        <v>0</v>
      </c>
      <c r="C121" t="n">
        <v>5097.74</v>
      </c>
    </row>
    <row r="122">
      <c r="A122" t="inlineStr">
        <is>
          <t>2024-08-29</t>
        </is>
      </c>
      <c r="B122" t="n">
        <v>13357.93</v>
      </c>
      <c r="C122" t="n">
        <v>15602.12</v>
      </c>
    </row>
    <row r="123">
      <c r="A123" t="inlineStr">
        <is>
          <t>2024-08-30</t>
        </is>
      </c>
      <c r="B123" t="n">
        <v>2019.49</v>
      </c>
      <c r="C123" t="n">
        <v>0</v>
      </c>
    </row>
    <row r="124">
      <c r="A124" t="inlineStr">
        <is>
          <t>2024-08-31</t>
        </is>
      </c>
      <c r="B124" t="n">
        <v>0</v>
      </c>
      <c r="C124" t="n">
        <v>9837.07</v>
      </c>
    </row>
    <row r="125">
      <c r="A125" t="inlineStr">
        <is>
          <t>2024-09-01</t>
        </is>
      </c>
      <c r="B125" t="n">
        <v>8876</v>
      </c>
      <c r="C125" t="n">
        <v>0</v>
      </c>
    </row>
    <row r="126">
      <c r="A126" t="inlineStr">
        <is>
          <t>2024-09-03</t>
        </is>
      </c>
      <c r="B126" t="n">
        <v>9497.92</v>
      </c>
      <c r="C126" t="n">
        <v>9537.950000000001</v>
      </c>
    </row>
    <row r="127">
      <c r="A127" t="inlineStr">
        <is>
          <t>2024-09-05</t>
        </is>
      </c>
      <c r="B127" t="n">
        <v>14432.37</v>
      </c>
      <c r="C127" t="n">
        <v>0</v>
      </c>
    </row>
    <row r="128">
      <c r="A128" t="inlineStr">
        <is>
          <t>2024-09-10</t>
        </is>
      </c>
      <c r="B128" t="n">
        <v>818655</v>
      </c>
      <c r="C128" t="n">
        <v>10285.99</v>
      </c>
    </row>
    <row r="129">
      <c r="A129" t="inlineStr">
        <is>
          <t>2024-09-11</t>
        </is>
      </c>
      <c r="B129" t="n">
        <v>0</v>
      </c>
      <c r="C129" t="n">
        <v>5502.9</v>
      </c>
    </row>
    <row r="130">
      <c r="A130" t="inlineStr">
        <is>
          <t>2024-09-12</t>
        </is>
      </c>
      <c r="B130" t="n">
        <v>0</v>
      </c>
      <c r="C130" t="n">
        <v>10948.11</v>
      </c>
    </row>
    <row r="131">
      <c r="A131" t="inlineStr">
        <is>
          <t>2024-09-17</t>
        </is>
      </c>
      <c r="B131" t="n">
        <v>0</v>
      </c>
      <c r="C131" t="n">
        <v>8417.059999999999</v>
      </c>
    </row>
    <row r="132">
      <c r="A132" t="inlineStr">
        <is>
          <t>2024-09-18</t>
        </is>
      </c>
      <c r="B132" t="n">
        <v>15705.41</v>
      </c>
      <c r="C132" t="n">
        <v>5606.049999999999</v>
      </c>
    </row>
    <row r="133">
      <c r="A133" t="inlineStr">
        <is>
          <t>2024-09-20</t>
        </is>
      </c>
      <c r="B133" t="n">
        <v>7770</v>
      </c>
      <c r="C133" t="n">
        <v>0</v>
      </c>
    </row>
    <row r="134">
      <c r="A134" t="inlineStr">
        <is>
          <t>2024-09-22</t>
        </is>
      </c>
      <c r="B134" t="n">
        <v>12814.54</v>
      </c>
      <c r="C134" t="n">
        <v>0</v>
      </c>
    </row>
    <row r="135">
      <c r="A135" t="inlineStr">
        <is>
          <t>2024-09-23</t>
        </is>
      </c>
      <c r="B135" t="n">
        <v>0</v>
      </c>
      <c r="C135" t="n">
        <v>18997.99</v>
      </c>
    </row>
    <row r="136">
      <c r="A136" t="inlineStr">
        <is>
          <t>2024-09-24</t>
        </is>
      </c>
      <c r="B136" t="n">
        <v>9424.57</v>
      </c>
      <c r="C136" t="n">
        <v>0</v>
      </c>
    </row>
    <row r="137">
      <c r="A137" t="inlineStr">
        <is>
          <t>2024-09-25</t>
        </is>
      </c>
      <c r="B137" t="n">
        <v>4328.11</v>
      </c>
      <c r="C137" t="n">
        <v>0</v>
      </c>
    </row>
    <row r="138">
      <c r="A138" t="inlineStr">
        <is>
          <t>2024-09-26</t>
        </is>
      </c>
      <c r="B138" t="n">
        <v>6573.52</v>
      </c>
      <c r="C138" t="n">
        <v>0</v>
      </c>
    </row>
    <row r="139">
      <c r="A139" t="inlineStr">
        <is>
          <t>2024-09-28</t>
        </is>
      </c>
      <c r="B139" t="n">
        <v>35621.75</v>
      </c>
      <c r="C139" t="n">
        <v>0</v>
      </c>
    </row>
    <row r="140">
      <c r="A140" t="inlineStr">
        <is>
          <t>2024-09-30</t>
        </is>
      </c>
      <c r="B140" t="n">
        <v>6314.84</v>
      </c>
      <c r="C140" t="n">
        <v>6971.96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Cash Forecasting Dashboard - Vue Mensuelle</t>
        </is>
      </c>
    </row>
    <row r="3">
      <c r="A3" s="2" t="inlineStr">
        <is>
          <t>Date départ forecast:</t>
        </is>
      </c>
      <c r="B3" s="11" t="n">
        <v>45658</v>
      </c>
    </row>
    <row r="5">
      <c r="A5" s="4" t="inlineStr">
        <is>
          <t>Mois</t>
        </is>
      </c>
      <c r="B5" s="4" t="inlineStr">
        <is>
          <t>Encaissements</t>
        </is>
      </c>
      <c r="C5" s="4" t="inlineStr">
        <is>
          <t>Décaissements</t>
        </is>
      </c>
      <c r="D5" s="4" t="inlineStr">
        <is>
          <t>Cash Flow Net</t>
        </is>
      </c>
      <c r="E5" s="4" t="inlineStr">
        <is>
          <t>Cumul</t>
        </is>
      </c>
    </row>
    <row r="6">
      <c r="A6">
        <f>TEXTE(DATE(ANNEE(B3);MOIS(B3)+0;1);"yyyy-mm")</f>
        <v/>
      </c>
      <c r="B6" s="5">
        <f>3123198.33+SIERREUR(INDEX(B21:B34;EQUIV(A6;A21:A34;0));0)</f>
        <v/>
      </c>
      <c r="C6" s="5">
        <f>412116.63+SIERREUR(INDEX(C21:C34;EQUIV(A6;A21:A34;0));0)</f>
        <v/>
      </c>
      <c r="D6" s="5">
        <f>B6-C6</f>
        <v/>
      </c>
      <c r="E6" s="5">
        <f>D6+25523090.46</f>
        <v/>
      </c>
    </row>
    <row r="7">
      <c r="A7">
        <f>TEXTE(DATE(ANNEE(B3);MOIS(B3)+1;1);"yyyy-mm")</f>
        <v/>
      </c>
      <c r="B7" s="5">
        <f>3123198.33+SIERREUR(INDEX(B21:B34;EQUIV(A7;A21:A34;0));0)</f>
        <v/>
      </c>
      <c r="C7" s="5">
        <f>412116.63+SIERREUR(INDEX(C21:C34;EQUIV(A7;A21:A34;0));0)</f>
        <v/>
      </c>
      <c r="D7" s="5">
        <f>B7-C7</f>
        <v/>
      </c>
      <c r="E7" s="5">
        <f>D7+E6</f>
        <v/>
      </c>
    </row>
    <row r="8">
      <c r="A8">
        <f>TEXTE(DATE(ANNEE(B3);MOIS(B3)+2;1);"yyyy-mm")</f>
        <v/>
      </c>
      <c r="B8" s="5">
        <f>3123198.33+SIERREUR(INDEX(B21:B34;EQUIV(A8;A21:A34;0));0)</f>
        <v/>
      </c>
      <c r="C8" s="5">
        <f>412116.63+SIERREUR(INDEX(C21:C34;EQUIV(A8;A21:A34;0));0)</f>
        <v/>
      </c>
      <c r="D8" s="5">
        <f>B8-C8</f>
        <v/>
      </c>
      <c r="E8" s="5">
        <f>D8+E7</f>
        <v/>
      </c>
    </row>
    <row r="20">
      <c r="A20" t="inlineStr">
        <is>
          <t>REF_MOIS</t>
        </is>
      </c>
      <c r="B20" t="inlineStr">
        <is>
          <t>REF_SALES</t>
        </is>
      </c>
      <c r="C20" t="inlineStr">
        <is>
          <t>REF_PURCHASE</t>
        </is>
      </c>
    </row>
    <row r="21">
      <c r="A21" t="inlineStr">
        <is>
          <t>2024-03</t>
        </is>
      </c>
      <c r="B21" t="n">
        <v>0</v>
      </c>
      <c r="C21" t="n">
        <v>4410.83</v>
      </c>
    </row>
    <row r="22">
      <c r="A22" t="inlineStr">
        <is>
          <t>2024-04</t>
        </is>
      </c>
      <c r="B22" t="n">
        <v>1655834.72</v>
      </c>
      <c r="C22" t="n">
        <v>37248.03</v>
      </c>
    </row>
    <row r="23">
      <c r="A23" t="inlineStr">
        <is>
          <t>2024-05</t>
        </is>
      </c>
      <c r="B23" t="n">
        <v>4819789.07</v>
      </c>
      <c r="C23" t="n">
        <v>39271.79</v>
      </c>
    </row>
    <row r="24">
      <c r="A24" t="inlineStr">
        <is>
          <t>2024-06</t>
        </is>
      </c>
      <c r="B24" t="n">
        <v>127627.38</v>
      </c>
      <c r="C24" t="n">
        <v>51028.96</v>
      </c>
    </row>
    <row r="25">
      <c r="A25" t="inlineStr">
        <is>
          <t>2024-07</t>
        </is>
      </c>
      <c r="B25" t="n">
        <v>43610.03</v>
      </c>
      <c r="C25" t="n">
        <v>43182.22</v>
      </c>
    </row>
    <row r="26">
      <c r="A26" t="inlineStr">
        <is>
          <t>2024-08</t>
        </is>
      </c>
      <c r="B26" t="n">
        <v>1239156.24</v>
      </c>
      <c r="C26" t="n">
        <v>92094.68000000001</v>
      </c>
    </row>
    <row r="27">
      <c r="A27" t="inlineStr">
        <is>
          <t>2024-09</t>
        </is>
      </c>
      <c r="B27" t="n">
        <v>950014.03</v>
      </c>
      <c r="C27" t="n">
        <v>76268.00999999999</v>
      </c>
    </row>
    <row r="28">
      <c r="A28" t="inlineStr">
        <is>
          <t>2024-10</t>
        </is>
      </c>
      <c r="B28" t="n">
        <v>2002696.98</v>
      </c>
      <c r="C28" t="n">
        <v>79210.37</v>
      </c>
    </row>
    <row r="29">
      <c r="A29" t="inlineStr">
        <is>
          <t>2024-11</t>
        </is>
      </c>
      <c r="B29" t="n">
        <v>507903.8700000001</v>
      </c>
      <c r="C29" t="n">
        <v>80915.12000000001</v>
      </c>
    </row>
    <row r="30">
      <c r="A30" t="inlineStr">
        <is>
          <t>2024-12</t>
        </is>
      </c>
      <c r="B30" t="n">
        <v>89408.05</v>
      </c>
      <c r="C30" t="n">
        <v>37158.79</v>
      </c>
    </row>
    <row r="31">
      <c r="A31" t="inlineStr">
        <is>
          <t>2025-01</t>
        </is>
      </c>
      <c r="B31" t="n">
        <v>2205100.61</v>
      </c>
      <c r="C31" t="n">
        <v>89773.44000000002</v>
      </c>
    </row>
    <row r="32">
      <c r="A32" t="inlineStr">
        <is>
          <t>2025-02</t>
        </is>
      </c>
      <c r="B32" t="n">
        <v>60255.69</v>
      </c>
      <c r="C32" t="n">
        <v>70709.04000000001</v>
      </c>
    </row>
    <row r="33">
      <c r="A33" t="inlineStr">
        <is>
          <t>2025-03</t>
        </is>
      </c>
      <c r="B33" t="n">
        <v>324643.32</v>
      </c>
      <c r="C33" t="n">
        <v>83248.51000000001</v>
      </c>
    </row>
    <row r="34">
      <c r="A34" t="inlineStr">
        <is>
          <t>2025-04</t>
        </is>
      </c>
      <c r="B34" t="n">
        <v>71097.17</v>
      </c>
      <c r="C34" t="n">
        <v>1801.73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tx_id</t>
        </is>
      </c>
      <c r="B1" s="6" t="inlineStr">
        <is>
          <t>date</t>
        </is>
      </c>
      <c r="C1" s="6" t="inlineStr">
        <is>
          <t>account</t>
        </is>
      </c>
      <c r="D1" s="6" t="inlineStr">
        <is>
          <t>currency</t>
        </is>
      </c>
      <c r="E1" s="6" t="inlineStr">
        <is>
          <t>type</t>
        </is>
      </c>
      <c r="F1" s="6" t="inlineStr">
        <is>
          <t>amount</t>
        </is>
      </c>
      <c r="G1" s="6" t="inlineStr">
        <is>
          <t>category</t>
        </is>
      </c>
      <c r="H1" s="6" t="inlineStr">
        <is>
          <t>counterparty</t>
        </is>
      </c>
      <c r="I1" s="6" t="inlineStr">
        <is>
          <t>month</t>
        </is>
      </c>
    </row>
    <row r="2">
      <c r="A2" t="n">
        <v>1</v>
      </c>
      <c r="B2" s="13" t="n">
        <v>45292</v>
      </c>
      <c r="C2" t="inlineStr">
        <is>
          <t>EUR_Operating</t>
        </is>
      </c>
      <c r="D2" t="inlineStr">
        <is>
          <t>EUR</t>
        </is>
      </c>
      <c r="E2" t="inlineStr">
        <is>
          <t>debit</t>
        </is>
      </c>
      <c r="F2" t="n">
        <v>2944.84</v>
      </c>
      <c r="G2" t="inlineStr">
        <is>
          <t>Supplier Payment</t>
        </is>
      </c>
      <c r="H2" t="inlineStr">
        <is>
          <t>Vend_B</t>
        </is>
      </c>
      <c r="I2" t="inlineStr">
        <is>
          <t>2024-01</t>
        </is>
      </c>
    </row>
    <row r="3">
      <c r="A3" t="n">
        <v>2</v>
      </c>
      <c r="B3" s="13" t="n">
        <v>45292</v>
      </c>
      <c r="C3" t="inlineStr">
        <is>
          <t>EUR_Operating</t>
        </is>
      </c>
      <c r="D3" t="inlineStr">
        <is>
          <t>EUR</t>
        </is>
      </c>
      <c r="E3" t="inlineStr">
        <is>
          <t>debit</t>
        </is>
      </c>
      <c r="F3" t="n">
        <v>31161.67</v>
      </c>
      <c r="G3" t="inlineStr">
        <is>
          <t>Loan Interest</t>
        </is>
      </c>
      <c r="H3" t="inlineStr">
        <is>
          <t>Bank Loan</t>
        </is>
      </c>
      <c r="I3" t="inlineStr">
        <is>
          <t>2024-01</t>
        </is>
      </c>
    </row>
    <row r="4">
      <c r="A4" t="n">
        <v>3</v>
      </c>
      <c r="B4" s="13" t="n">
        <v>45293</v>
      </c>
      <c r="C4" t="inlineStr">
        <is>
          <t>EUR_Operating</t>
        </is>
      </c>
      <c r="D4" t="inlineStr">
        <is>
          <t>EUR</t>
        </is>
      </c>
      <c r="E4" t="inlineStr">
        <is>
          <t>debit</t>
        </is>
      </c>
      <c r="F4" t="n">
        <v>18.14</v>
      </c>
      <c r="G4" t="inlineStr">
        <is>
          <t>Bank Fee</t>
        </is>
      </c>
      <c r="H4" t="inlineStr">
        <is>
          <t>Bank</t>
        </is>
      </c>
      <c r="I4" t="inlineStr">
        <is>
          <t>2024-01</t>
        </is>
      </c>
    </row>
    <row r="5">
      <c r="A5" t="n">
        <v>4</v>
      </c>
      <c r="B5" s="13" t="n">
        <v>45294</v>
      </c>
      <c r="C5" t="inlineStr">
        <is>
          <t>EUR_Operating</t>
        </is>
      </c>
      <c r="D5" t="inlineStr">
        <is>
          <t>EUR</t>
        </is>
      </c>
      <c r="E5" t="inlineStr">
        <is>
          <t>debit</t>
        </is>
      </c>
      <c r="F5" t="n">
        <v>8110.71</v>
      </c>
      <c r="G5" t="inlineStr">
        <is>
          <t>Supplier Payment</t>
        </is>
      </c>
      <c r="H5" t="inlineStr">
        <is>
          <t>Vend_A</t>
        </is>
      </c>
      <c r="I5" t="inlineStr">
        <is>
          <t>2024-01</t>
        </is>
      </c>
    </row>
    <row r="6">
      <c r="A6" t="n">
        <v>5</v>
      </c>
      <c r="B6" s="13" t="n">
        <v>45295</v>
      </c>
      <c r="C6" t="inlineStr">
        <is>
          <t>EUR_Operating</t>
        </is>
      </c>
      <c r="D6" t="inlineStr">
        <is>
          <t>EUR</t>
        </is>
      </c>
      <c r="E6" t="inlineStr">
        <is>
          <t>debit</t>
        </is>
      </c>
      <c r="F6" t="n">
        <v>5805.73</v>
      </c>
      <c r="G6" t="inlineStr">
        <is>
          <t>Supplier Payment</t>
        </is>
      </c>
      <c r="H6" t="inlineStr">
        <is>
          <t>Vend_B</t>
        </is>
      </c>
      <c r="I6" t="inlineStr">
        <is>
          <t>2024-01</t>
        </is>
      </c>
    </row>
    <row r="7">
      <c r="A7" t="n">
        <v>6</v>
      </c>
      <c r="B7" s="13" t="n">
        <v>45295</v>
      </c>
      <c r="C7" t="inlineStr">
        <is>
          <t>EUR_Operating</t>
        </is>
      </c>
      <c r="D7" t="inlineStr">
        <is>
          <t>EUR</t>
        </is>
      </c>
      <c r="E7" t="inlineStr">
        <is>
          <t>debit</t>
        </is>
      </c>
      <c r="F7" t="n">
        <v>12189.27</v>
      </c>
      <c r="G7" t="inlineStr">
        <is>
          <t>Supplier Payment</t>
        </is>
      </c>
      <c r="H7" t="inlineStr">
        <is>
          <t>Vend_C</t>
        </is>
      </c>
      <c r="I7" t="inlineStr">
        <is>
          <t>2024-01</t>
        </is>
      </c>
    </row>
    <row r="8">
      <c r="A8" t="n">
        <v>7</v>
      </c>
      <c r="B8" s="13" t="n">
        <v>45296</v>
      </c>
      <c r="C8" t="inlineStr">
        <is>
          <t>EUR_Operating</t>
        </is>
      </c>
      <c r="D8" t="inlineStr">
        <is>
          <t>EUR</t>
        </is>
      </c>
      <c r="E8" t="inlineStr">
        <is>
          <t>debit</t>
        </is>
      </c>
      <c r="F8" t="n">
        <v>2254.75</v>
      </c>
      <c r="G8" t="inlineStr">
        <is>
          <t>Supplier Payment</t>
        </is>
      </c>
      <c r="H8" t="inlineStr">
        <is>
          <t>Vend_A</t>
        </is>
      </c>
      <c r="I8" t="inlineStr">
        <is>
          <t>2024-01</t>
        </is>
      </c>
    </row>
    <row r="9">
      <c r="A9" t="n">
        <v>8</v>
      </c>
      <c r="B9" s="13" t="n">
        <v>45296</v>
      </c>
      <c r="C9" t="inlineStr">
        <is>
          <t>EUR_Operating</t>
        </is>
      </c>
      <c r="D9" t="inlineStr">
        <is>
          <t>EUR</t>
        </is>
      </c>
      <c r="E9" t="inlineStr">
        <is>
          <t>debit</t>
        </is>
      </c>
      <c r="F9" t="n">
        <v>10132.07</v>
      </c>
      <c r="G9" t="inlineStr">
        <is>
          <t>Supplier Payment</t>
        </is>
      </c>
      <c r="H9" t="inlineStr">
        <is>
          <t>Vend_B</t>
        </is>
      </c>
      <c r="I9" t="inlineStr">
        <is>
          <t>2024-01</t>
        </is>
      </c>
    </row>
    <row r="10">
      <c r="A10" t="n">
        <v>9</v>
      </c>
      <c r="B10" s="13" t="n">
        <v>45296</v>
      </c>
      <c r="C10" t="inlineStr">
        <is>
          <t>EUR_Operating</t>
        </is>
      </c>
      <c r="D10" t="inlineStr">
        <is>
          <t>EUR</t>
        </is>
      </c>
      <c r="E10" t="inlineStr">
        <is>
          <t>debit</t>
        </is>
      </c>
      <c r="F10" t="n">
        <v>4406.85</v>
      </c>
      <c r="G10" t="inlineStr">
        <is>
          <t>Supplier Payment</t>
        </is>
      </c>
      <c r="H10" t="inlineStr">
        <is>
          <t>Vend_C</t>
        </is>
      </c>
      <c r="I10" t="inlineStr">
        <is>
          <t>2024-01</t>
        </is>
      </c>
    </row>
    <row r="11">
      <c r="A11" t="n">
        <v>10</v>
      </c>
      <c r="B11" s="13" t="n">
        <v>45297</v>
      </c>
      <c r="C11" t="inlineStr">
        <is>
          <t>EUR_Operating</t>
        </is>
      </c>
      <c r="D11" t="inlineStr">
        <is>
          <t>EUR</t>
        </is>
      </c>
      <c r="E11" t="inlineStr">
        <is>
          <t>debit</t>
        </is>
      </c>
      <c r="F11" t="n">
        <v>1511.46</v>
      </c>
      <c r="G11" t="inlineStr">
        <is>
          <t>Supplier Payment</t>
        </is>
      </c>
      <c r="H11" t="inlineStr">
        <is>
          <t>Vend_A</t>
        </is>
      </c>
      <c r="I11" t="inlineStr">
        <is>
          <t>2024-01</t>
        </is>
      </c>
    </row>
    <row r="12">
      <c r="A12" t="n">
        <v>11</v>
      </c>
      <c r="B12" s="13" t="n">
        <v>45301</v>
      </c>
      <c r="C12" t="inlineStr">
        <is>
          <t>EUR_Operating</t>
        </is>
      </c>
      <c r="D12" t="inlineStr">
        <is>
          <t>EUR</t>
        </is>
      </c>
      <c r="E12" t="inlineStr">
        <is>
          <t>debit</t>
        </is>
      </c>
      <c r="F12" t="n">
        <v>5880.48</v>
      </c>
      <c r="G12" t="inlineStr">
        <is>
          <t>Supplier Payment</t>
        </is>
      </c>
      <c r="H12" t="inlineStr">
        <is>
          <t>Vend_C</t>
        </is>
      </c>
      <c r="I12" t="inlineStr">
        <is>
          <t>2024-01</t>
        </is>
      </c>
    </row>
    <row r="13">
      <c r="A13" t="n">
        <v>12</v>
      </c>
      <c r="B13" s="13" t="n">
        <v>45301</v>
      </c>
      <c r="C13" t="inlineStr">
        <is>
          <t>EUR_Operating</t>
        </is>
      </c>
      <c r="D13" t="inlineStr">
        <is>
          <t>EUR</t>
        </is>
      </c>
      <c r="E13" t="inlineStr">
        <is>
          <t>debit</t>
        </is>
      </c>
      <c r="F13" t="n">
        <v>4962.49</v>
      </c>
      <c r="G13" t="inlineStr">
        <is>
          <t>Supplier Payment</t>
        </is>
      </c>
      <c r="H13" t="inlineStr">
        <is>
          <t>Vend_C</t>
        </is>
      </c>
      <c r="I13" t="inlineStr">
        <is>
          <t>2024-01</t>
        </is>
      </c>
    </row>
    <row r="14">
      <c r="A14" t="n">
        <v>13</v>
      </c>
      <c r="B14" s="13" t="n">
        <v>45306</v>
      </c>
      <c r="C14" t="inlineStr">
        <is>
          <t>EUR_Operating</t>
        </is>
      </c>
      <c r="D14" t="inlineStr">
        <is>
          <t>EUR</t>
        </is>
      </c>
      <c r="E14" t="inlineStr">
        <is>
          <t>debit</t>
        </is>
      </c>
      <c r="F14" t="n">
        <v>10454.59</v>
      </c>
      <c r="G14" t="inlineStr">
        <is>
          <t>Supplier Payment</t>
        </is>
      </c>
      <c r="H14" t="inlineStr">
        <is>
          <t>Vend_B</t>
        </is>
      </c>
      <c r="I14" t="inlineStr">
        <is>
          <t>2024-01</t>
        </is>
      </c>
    </row>
    <row r="15">
      <c r="A15" t="n">
        <v>14</v>
      </c>
      <c r="B15" s="13" t="n">
        <v>45307</v>
      </c>
      <c r="C15" t="inlineStr">
        <is>
          <t>EUR_Operating</t>
        </is>
      </c>
      <c r="D15" t="inlineStr">
        <is>
          <t>EUR</t>
        </is>
      </c>
      <c r="E15" t="inlineStr">
        <is>
          <t>debit</t>
        </is>
      </c>
      <c r="F15" t="n">
        <v>8024.9</v>
      </c>
      <c r="G15" t="inlineStr">
        <is>
          <t>Supplier Payment</t>
        </is>
      </c>
      <c r="H15" t="inlineStr">
        <is>
          <t>Vend_A</t>
        </is>
      </c>
      <c r="I15" t="inlineStr">
        <is>
          <t>2024-01</t>
        </is>
      </c>
    </row>
    <row r="16">
      <c r="A16" t="n">
        <v>15</v>
      </c>
      <c r="B16" s="13" t="n">
        <v>45309</v>
      </c>
      <c r="C16" t="inlineStr">
        <is>
          <t>EUR_Operating</t>
        </is>
      </c>
      <c r="D16" t="inlineStr">
        <is>
          <t>EUR</t>
        </is>
      </c>
      <c r="E16" t="inlineStr">
        <is>
          <t>debit</t>
        </is>
      </c>
      <c r="F16" t="n">
        <v>9635.129999999999</v>
      </c>
      <c r="G16" t="inlineStr">
        <is>
          <t>Supplier Payment</t>
        </is>
      </c>
      <c r="H16" t="inlineStr">
        <is>
          <t>Vend_A</t>
        </is>
      </c>
      <c r="I16" t="inlineStr">
        <is>
          <t>2024-01</t>
        </is>
      </c>
    </row>
    <row r="17">
      <c r="A17" t="n">
        <v>16</v>
      </c>
      <c r="B17" s="13" t="n">
        <v>45310</v>
      </c>
      <c r="C17" t="inlineStr">
        <is>
          <t>EUR_Operating</t>
        </is>
      </c>
      <c r="D17" t="inlineStr">
        <is>
          <t>EUR</t>
        </is>
      </c>
      <c r="E17" t="inlineStr">
        <is>
          <t>debit</t>
        </is>
      </c>
      <c r="F17" t="n">
        <v>25681.48</v>
      </c>
      <c r="G17" t="inlineStr">
        <is>
          <t>Supplier Payment</t>
        </is>
      </c>
      <c r="H17" t="inlineStr">
        <is>
          <t>Vend_A</t>
        </is>
      </c>
      <c r="I17" t="inlineStr">
        <is>
          <t>2024-01</t>
        </is>
      </c>
    </row>
    <row r="18">
      <c r="A18" t="n">
        <v>17</v>
      </c>
      <c r="B18" s="13" t="n">
        <v>45315</v>
      </c>
      <c r="C18" t="inlineStr">
        <is>
          <t>EUR_Operating</t>
        </is>
      </c>
      <c r="D18" t="inlineStr">
        <is>
          <t>EUR</t>
        </is>
      </c>
      <c r="E18" t="inlineStr">
        <is>
          <t>debit</t>
        </is>
      </c>
      <c r="F18" t="n">
        <v>18779.17</v>
      </c>
      <c r="G18" t="inlineStr">
        <is>
          <t>Supplier Payment</t>
        </is>
      </c>
      <c r="H18" t="inlineStr">
        <is>
          <t>Vend_C</t>
        </is>
      </c>
      <c r="I18" t="inlineStr">
        <is>
          <t>2024-01</t>
        </is>
      </c>
    </row>
    <row r="19">
      <c r="A19" t="n">
        <v>18</v>
      </c>
      <c r="B19" s="13" t="n">
        <v>45316</v>
      </c>
      <c r="C19" t="inlineStr">
        <is>
          <t>EUR_Payroll</t>
        </is>
      </c>
      <c r="D19" t="inlineStr">
        <is>
          <t>EUR</t>
        </is>
      </c>
      <c r="E19" t="inlineStr">
        <is>
          <t>debit</t>
        </is>
      </c>
      <c r="F19" t="n">
        <v>122726.77</v>
      </c>
      <c r="G19" t="inlineStr">
        <is>
          <t>Payroll</t>
        </is>
      </c>
      <c r="H19" t="inlineStr">
        <is>
          <t>Payroll</t>
        </is>
      </c>
      <c r="I19" t="inlineStr">
        <is>
          <t>2024-01</t>
        </is>
      </c>
    </row>
    <row r="20">
      <c r="A20" t="n">
        <v>19</v>
      </c>
      <c r="B20" s="13" t="n">
        <v>45316</v>
      </c>
      <c r="C20" t="inlineStr">
        <is>
          <t>EUR_Operating</t>
        </is>
      </c>
      <c r="D20" t="inlineStr">
        <is>
          <t>EUR</t>
        </is>
      </c>
      <c r="E20" t="inlineStr">
        <is>
          <t>debit</t>
        </is>
      </c>
      <c r="F20" t="n">
        <v>122726.77</v>
      </c>
      <c r="G20" t="inlineStr">
        <is>
          <t>Transfer to Payroll</t>
        </is>
      </c>
      <c r="H20" t="inlineStr">
        <is>
          <t>Payroll</t>
        </is>
      </c>
      <c r="I20" t="inlineStr">
        <is>
          <t>2024-01</t>
        </is>
      </c>
    </row>
    <row r="21">
      <c r="A21" t="n">
        <v>20</v>
      </c>
      <c r="B21" s="13" t="n">
        <v>45319</v>
      </c>
      <c r="C21" t="inlineStr">
        <is>
          <t>EUR_Operating</t>
        </is>
      </c>
      <c r="D21" t="inlineStr">
        <is>
          <t>EUR</t>
        </is>
      </c>
      <c r="E21" t="inlineStr">
        <is>
          <t>debit</t>
        </is>
      </c>
      <c r="F21" t="n">
        <v>10556.02</v>
      </c>
      <c r="G21" t="inlineStr">
        <is>
          <t>Supplier Payment</t>
        </is>
      </c>
      <c r="H21" t="inlineStr">
        <is>
          <t>Vend_A</t>
        </is>
      </c>
      <c r="I21" t="inlineStr">
        <is>
          <t>2024-01</t>
        </is>
      </c>
    </row>
    <row r="22">
      <c r="A22" t="n">
        <v>21</v>
      </c>
      <c r="B22" s="13" t="n">
        <v>45319</v>
      </c>
      <c r="C22" t="inlineStr">
        <is>
          <t>EUR_Operating</t>
        </is>
      </c>
      <c r="D22" t="inlineStr">
        <is>
          <t>EUR</t>
        </is>
      </c>
      <c r="E22" t="inlineStr">
        <is>
          <t>debit</t>
        </is>
      </c>
      <c r="F22" t="n">
        <v>16310.93</v>
      </c>
      <c r="G22" t="inlineStr">
        <is>
          <t>Supplier Payment</t>
        </is>
      </c>
      <c r="H22" t="inlineStr">
        <is>
          <t>Vend_B</t>
        </is>
      </c>
      <c r="I22" t="inlineStr">
        <is>
          <t>2024-01</t>
        </is>
      </c>
    </row>
    <row r="23">
      <c r="A23" t="n">
        <v>22</v>
      </c>
      <c r="B23" s="13" t="n">
        <v>45319</v>
      </c>
      <c r="C23" t="inlineStr">
        <is>
          <t>EUR_Operating</t>
        </is>
      </c>
      <c r="D23" t="inlineStr">
        <is>
          <t>EUR</t>
        </is>
      </c>
      <c r="E23" t="inlineStr">
        <is>
          <t>debit</t>
        </is>
      </c>
      <c r="F23" t="n">
        <v>13055.56</v>
      </c>
      <c r="G23" t="inlineStr">
        <is>
          <t>Supplier Payment</t>
        </is>
      </c>
      <c r="H23" t="inlineStr">
        <is>
          <t>Vend_B</t>
        </is>
      </c>
      <c r="I23" t="inlineStr">
        <is>
          <t>2024-01</t>
        </is>
      </c>
    </row>
    <row r="24">
      <c r="A24" t="n">
        <v>23</v>
      </c>
      <c r="B24" s="13" t="n">
        <v>45320</v>
      </c>
      <c r="C24" t="inlineStr">
        <is>
          <t>EUR_Operating</t>
        </is>
      </c>
      <c r="D24" t="inlineStr">
        <is>
          <t>EUR</t>
        </is>
      </c>
      <c r="E24" t="inlineStr">
        <is>
          <t>debit</t>
        </is>
      </c>
      <c r="F24" t="n">
        <v>6070.46</v>
      </c>
      <c r="G24" t="inlineStr">
        <is>
          <t>Supplier Payment</t>
        </is>
      </c>
      <c r="H24" t="inlineStr">
        <is>
          <t>Vend_C</t>
        </is>
      </c>
      <c r="I24" t="inlineStr">
        <is>
          <t>2024-01</t>
        </is>
      </c>
    </row>
    <row r="25">
      <c r="A25" t="n">
        <v>24</v>
      </c>
      <c r="B25" s="13" t="n">
        <v>45320</v>
      </c>
      <c r="C25" t="inlineStr">
        <is>
          <t>EUR_Operating</t>
        </is>
      </c>
      <c r="D25" t="inlineStr">
        <is>
          <t>EUR</t>
        </is>
      </c>
      <c r="E25" t="inlineStr">
        <is>
          <t>debit</t>
        </is>
      </c>
      <c r="F25" t="n">
        <v>5736.83</v>
      </c>
      <c r="G25" t="inlineStr">
        <is>
          <t>Supplier Payment</t>
        </is>
      </c>
      <c r="H25" t="inlineStr">
        <is>
          <t>Vend_B</t>
        </is>
      </c>
      <c r="I25" t="inlineStr">
        <is>
          <t>2024-01</t>
        </is>
      </c>
    </row>
    <row r="26">
      <c r="A26" t="n">
        <v>25</v>
      </c>
      <c r="B26" s="13" t="n">
        <v>45322</v>
      </c>
      <c r="C26" t="inlineStr">
        <is>
          <t>EUR_Operating</t>
        </is>
      </c>
      <c r="D26" t="inlineStr">
        <is>
          <t>EUR</t>
        </is>
      </c>
      <c r="E26" t="inlineStr">
        <is>
          <t>debit</t>
        </is>
      </c>
      <c r="F26" t="n">
        <v>10633.04</v>
      </c>
      <c r="G26" t="inlineStr">
        <is>
          <t>Supplier Payment</t>
        </is>
      </c>
      <c r="H26" t="inlineStr">
        <is>
          <t>Vend_A</t>
        </is>
      </c>
      <c r="I26" t="inlineStr">
        <is>
          <t>2024-01</t>
        </is>
      </c>
    </row>
    <row r="27">
      <c r="A27" t="n">
        <v>26</v>
      </c>
      <c r="B27" s="13" t="n">
        <v>45323</v>
      </c>
      <c r="C27" t="inlineStr">
        <is>
          <t>EUR_Operating</t>
        </is>
      </c>
      <c r="D27" t="inlineStr">
        <is>
          <t>EUR</t>
        </is>
      </c>
      <c r="E27" t="inlineStr">
        <is>
          <t>debit</t>
        </is>
      </c>
      <c r="F27" t="n">
        <v>1231.84</v>
      </c>
      <c r="G27" t="inlineStr">
        <is>
          <t>Supplier Payment</t>
        </is>
      </c>
      <c r="H27" t="inlineStr">
        <is>
          <t>Vend_A</t>
        </is>
      </c>
      <c r="I27" t="inlineStr">
        <is>
          <t>2024-02</t>
        </is>
      </c>
    </row>
    <row r="28">
      <c r="A28" t="n">
        <v>27</v>
      </c>
      <c r="B28" s="13" t="n">
        <v>45323</v>
      </c>
      <c r="C28" t="inlineStr">
        <is>
          <t>EUR_Operating</t>
        </is>
      </c>
      <c r="D28" t="inlineStr">
        <is>
          <t>EUR</t>
        </is>
      </c>
      <c r="E28" t="inlineStr">
        <is>
          <t>debit</t>
        </is>
      </c>
      <c r="F28" t="n">
        <v>33156.67</v>
      </c>
      <c r="G28" t="inlineStr">
        <is>
          <t>Loan Interest</t>
        </is>
      </c>
      <c r="H28" t="inlineStr">
        <is>
          <t>Bank Loan</t>
        </is>
      </c>
      <c r="I28" t="inlineStr">
        <is>
          <t>2024-02</t>
        </is>
      </c>
    </row>
    <row r="29">
      <c r="A29" t="n">
        <v>28</v>
      </c>
      <c r="B29" s="13" t="n">
        <v>45324</v>
      </c>
      <c r="C29" t="inlineStr">
        <is>
          <t>EUR_Operating</t>
        </is>
      </c>
      <c r="D29" t="inlineStr">
        <is>
          <t>EUR</t>
        </is>
      </c>
      <c r="E29" t="inlineStr">
        <is>
          <t>credit</t>
        </is>
      </c>
      <c r="F29" t="n">
        <v>6703.28</v>
      </c>
      <c r="G29" t="inlineStr">
        <is>
          <t>Customer Payment</t>
        </is>
      </c>
      <c r="H29" t="inlineStr">
        <is>
          <t>Cust_A</t>
        </is>
      </c>
      <c r="I29" t="inlineStr">
        <is>
          <t>2024-02</t>
        </is>
      </c>
    </row>
    <row r="30">
      <c r="A30" t="n">
        <v>29</v>
      </c>
      <c r="B30" s="13" t="n">
        <v>45326</v>
      </c>
      <c r="C30" t="inlineStr">
        <is>
          <t>EUR_Operating</t>
        </is>
      </c>
      <c r="D30" t="inlineStr">
        <is>
          <t>EUR</t>
        </is>
      </c>
      <c r="E30" t="inlineStr">
        <is>
          <t>debit</t>
        </is>
      </c>
      <c r="F30" t="n">
        <v>2651.15</v>
      </c>
      <c r="G30" t="inlineStr">
        <is>
          <t>Supplier Payment</t>
        </is>
      </c>
      <c r="H30" t="inlineStr">
        <is>
          <t>Vend_B</t>
        </is>
      </c>
      <c r="I30" t="inlineStr">
        <is>
          <t>2024-02</t>
        </is>
      </c>
    </row>
    <row r="31">
      <c r="A31" t="n">
        <v>30</v>
      </c>
      <c r="B31" s="13" t="n">
        <v>45327</v>
      </c>
      <c r="C31" t="inlineStr">
        <is>
          <t>EUR_Operating</t>
        </is>
      </c>
      <c r="D31" t="inlineStr">
        <is>
          <t>EUR</t>
        </is>
      </c>
      <c r="E31" t="inlineStr">
        <is>
          <t>debit</t>
        </is>
      </c>
      <c r="F31" t="n">
        <v>1149.14</v>
      </c>
      <c r="G31" t="inlineStr">
        <is>
          <t>Supplier Payment</t>
        </is>
      </c>
      <c r="H31" t="inlineStr">
        <is>
          <t>Vend_B</t>
        </is>
      </c>
      <c r="I31" t="inlineStr">
        <is>
          <t>2024-02</t>
        </is>
      </c>
    </row>
    <row r="32">
      <c r="A32" t="n">
        <v>31</v>
      </c>
      <c r="B32" s="13" t="n">
        <v>45328</v>
      </c>
      <c r="C32" t="inlineStr">
        <is>
          <t>EUR_Operating</t>
        </is>
      </c>
      <c r="D32" t="inlineStr">
        <is>
          <t>EUR</t>
        </is>
      </c>
      <c r="E32" t="inlineStr">
        <is>
          <t>debit</t>
        </is>
      </c>
      <c r="F32" t="n">
        <v>5052.83</v>
      </c>
      <c r="G32" t="inlineStr">
        <is>
          <t>Supplier Payment</t>
        </is>
      </c>
      <c r="H32" t="inlineStr">
        <is>
          <t>Vend_A</t>
        </is>
      </c>
      <c r="I32" t="inlineStr">
        <is>
          <t>2024-02</t>
        </is>
      </c>
    </row>
    <row r="33">
      <c r="A33" t="n">
        <v>32</v>
      </c>
      <c r="B33" s="13" t="n">
        <v>45330</v>
      </c>
      <c r="C33" t="inlineStr">
        <is>
          <t>EUR_Operating</t>
        </is>
      </c>
      <c r="D33" t="inlineStr">
        <is>
          <t>EUR</t>
        </is>
      </c>
      <c r="E33" t="inlineStr">
        <is>
          <t>debit</t>
        </is>
      </c>
      <c r="F33" t="n">
        <v>5585.02</v>
      </c>
      <c r="G33" t="inlineStr">
        <is>
          <t>Supplier Payment</t>
        </is>
      </c>
      <c r="H33" t="inlineStr">
        <is>
          <t>Vend_C</t>
        </is>
      </c>
      <c r="I33" t="inlineStr">
        <is>
          <t>2024-02</t>
        </is>
      </c>
    </row>
    <row r="34">
      <c r="A34" t="n">
        <v>33</v>
      </c>
      <c r="B34" s="13" t="n">
        <v>45331</v>
      </c>
      <c r="C34" t="inlineStr">
        <is>
          <t>EUR_Operating</t>
        </is>
      </c>
      <c r="D34" t="inlineStr">
        <is>
          <t>EUR</t>
        </is>
      </c>
      <c r="E34" t="inlineStr">
        <is>
          <t>debit</t>
        </is>
      </c>
      <c r="F34" t="n">
        <v>1747.07</v>
      </c>
      <c r="G34" t="inlineStr">
        <is>
          <t>Supplier Payment</t>
        </is>
      </c>
      <c r="H34" t="inlineStr">
        <is>
          <t>Vend_A</t>
        </is>
      </c>
      <c r="I34" t="inlineStr">
        <is>
          <t>2024-02</t>
        </is>
      </c>
    </row>
    <row r="35">
      <c r="A35" t="n">
        <v>34</v>
      </c>
      <c r="B35" s="13" t="n">
        <v>45332</v>
      </c>
      <c r="C35" t="inlineStr">
        <is>
          <t>EUR_Operating</t>
        </is>
      </c>
      <c r="D35" t="inlineStr">
        <is>
          <t>EUR</t>
        </is>
      </c>
      <c r="E35" t="inlineStr">
        <is>
          <t>debit</t>
        </is>
      </c>
      <c r="F35" t="n">
        <v>4941.87</v>
      </c>
      <c r="G35" t="inlineStr">
        <is>
          <t>Supplier Payment</t>
        </is>
      </c>
      <c r="H35" t="inlineStr">
        <is>
          <t>Vend_C</t>
        </is>
      </c>
      <c r="I35" t="inlineStr">
        <is>
          <t>2024-02</t>
        </is>
      </c>
    </row>
    <row r="36">
      <c r="A36" t="n">
        <v>35</v>
      </c>
      <c r="B36" s="13" t="n">
        <v>45332</v>
      </c>
      <c r="C36" t="inlineStr">
        <is>
          <t>EUR_Operating</t>
        </is>
      </c>
      <c r="D36" t="inlineStr">
        <is>
          <t>EUR</t>
        </is>
      </c>
      <c r="E36" t="inlineStr">
        <is>
          <t>debit</t>
        </is>
      </c>
      <c r="F36" t="n">
        <v>10556.02</v>
      </c>
      <c r="G36" t="inlineStr">
        <is>
          <t>Supplier Payment</t>
        </is>
      </c>
      <c r="H36" t="inlineStr">
        <is>
          <t>Vend_A</t>
        </is>
      </c>
      <c r="I36" t="inlineStr">
        <is>
          <t>2024-02</t>
        </is>
      </c>
    </row>
    <row r="37">
      <c r="A37" t="n">
        <v>36</v>
      </c>
      <c r="B37" s="13" t="n">
        <v>45335</v>
      </c>
      <c r="C37" t="inlineStr">
        <is>
          <t>JPY_Sales</t>
        </is>
      </c>
      <c r="D37" t="inlineStr">
        <is>
          <t>JPY</t>
        </is>
      </c>
      <c r="E37" t="inlineStr">
        <is>
          <t>debit</t>
        </is>
      </c>
      <c r="F37" t="n">
        <v>3581.57</v>
      </c>
      <c r="G37" t="inlineStr">
        <is>
          <t>Supplier Payment</t>
        </is>
      </c>
      <c r="H37" t="inlineStr">
        <is>
          <t>Vend_C</t>
        </is>
      </c>
      <c r="I37" t="inlineStr">
        <is>
          <t>2024-02</t>
        </is>
      </c>
    </row>
    <row r="38">
      <c r="A38" t="n">
        <v>37</v>
      </c>
      <c r="B38" s="13" t="n">
        <v>45337</v>
      </c>
      <c r="C38" t="inlineStr">
        <is>
          <t>EUR_Operating</t>
        </is>
      </c>
      <c r="D38" t="inlineStr">
        <is>
          <t>EUR</t>
        </is>
      </c>
      <c r="E38" t="inlineStr">
        <is>
          <t>debit</t>
        </is>
      </c>
      <c r="F38" t="n">
        <v>5246.26</v>
      </c>
      <c r="G38" t="inlineStr">
        <is>
          <t>Supplier Payment</t>
        </is>
      </c>
      <c r="H38" t="inlineStr">
        <is>
          <t>Vend_A</t>
        </is>
      </c>
      <c r="I38" t="inlineStr">
        <is>
          <t>2024-02</t>
        </is>
      </c>
    </row>
    <row r="39">
      <c r="A39" t="n">
        <v>38</v>
      </c>
      <c r="B39" s="13" t="n">
        <v>45337</v>
      </c>
      <c r="C39" t="inlineStr">
        <is>
          <t>EUR_Operating</t>
        </is>
      </c>
      <c r="D39" t="inlineStr">
        <is>
          <t>EUR</t>
        </is>
      </c>
      <c r="E39" t="inlineStr">
        <is>
          <t>debit</t>
        </is>
      </c>
      <c r="F39" t="n">
        <v>11906.22</v>
      </c>
      <c r="G39" t="inlineStr">
        <is>
          <t>Supplier Payment</t>
        </is>
      </c>
      <c r="H39" t="inlineStr">
        <is>
          <t>Vend_B</t>
        </is>
      </c>
      <c r="I39" t="inlineStr">
        <is>
          <t>2024-02</t>
        </is>
      </c>
    </row>
    <row r="40">
      <c r="A40" t="n">
        <v>39</v>
      </c>
      <c r="B40" s="13" t="n">
        <v>45337</v>
      </c>
      <c r="C40" t="inlineStr">
        <is>
          <t>EUR_Operating</t>
        </is>
      </c>
      <c r="D40" t="inlineStr">
        <is>
          <t>EUR</t>
        </is>
      </c>
      <c r="E40" t="inlineStr">
        <is>
          <t>debit</t>
        </is>
      </c>
      <c r="F40" t="n">
        <v>5856.83</v>
      </c>
      <c r="G40" t="inlineStr">
        <is>
          <t>Supplier Payment</t>
        </is>
      </c>
      <c r="H40" t="inlineStr">
        <is>
          <t>Vend_B</t>
        </is>
      </c>
      <c r="I40" t="inlineStr">
        <is>
          <t>2024-02</t>
        </is>
      </c>
    </row>
    <row r="41">
      <c r="A41" t="n">
        <v>40</v>
      </c>
      <c r="B41" s="13" t="n">
        <v>45337</v>
      </c>
      <c r="C41" t="inlineStr">
        <is>
          <t>EUR_Operating</t>
        </is>
      </c>
      <c r="D41" t="inlineStr">
        <is>
          <t>EUR</t>
        </is>
      </c>
      <c r="E41" t="inlineStr">
        <is>
          <t>debit</t>
        </is>
      </c>
      <c r="F41" t="n">
        <v>1583.41</v>
      </c>
      <c r="G41" t="inlineStr">
        <is>
          <t>Supplier Payment</t>
        </is>
      </c>
      <c r="H41" t="inlineStr">
        <is>
          <t>Vend_C</t>
        </is>
      </c>
      <c r="I41" t="inlineStr">
        <is>
          <t>2024-02</t>
        </is>
      </c>
    </row>
    <row r="42">
      <c r="A42" t="n">
        <v>41</v>
      </c>
      <c r="B42" s="13" t="n">
        <v>45338</v>
      </c>
      <c r="C42" t="inlineStr">
        <is>
          <t>EUR_Operating</t>
        </is>
      </c>
      <c r="D42" t="inlineStr">
        <is>
          <t>EUR</t>
        </is>
      </c>
      <c r="E42" t="inlineStr">
        <is>
          <t>debit</t>
        </is>
      </c>
      <c r="F42" t="n">
        <v>4939.38</v>
      </c>
      <c r="G42" t="inlineStr">
        <is>
          <t>Supplier Payment</t>
        </is>
      </c>
      <c r="H42" t="inlineStr">
        <is>
          <t>Vend_C</t>
        </is>
      </c>
      <c r="I42" t="inlineStr">
        <is>
          <t>2024-02</t>
        </is>
      </c>
    </row>
    <row r="43">
      <c r="A43" t="n">
        <v>42</v>
      </c>
      <c r="B43" s="13" t="n">
        <v>45338</v>
      </c>
      <c r="C43" t="inlineStr">
        <is>
          <t>EUR_Operating</t>
        </is>
      </c>
      <c r="D43" t="inlineStr">
        <is>
          <t>EUR</t>
        </is>
      </c>
      <c r="E43" t="inlineStr">
        <is>
          <t>debit</t>
        </is>
      </c>
      <c r="F43" t="n">
        <v>8247.74</v>
      </c>
      <c r="G43" t="inlineStr">
        <is>
          <t>Supplier Payment</t>
        </is>
      </c>
      <c r="H43" t="inlineStr">
        <is>
          <t>Vend_B</t>
        </is>
      </c>
      <c r="I43" t="inlineStr">
        <is>
          <t>2024-02</t>
        </is>
      </c>
    </row>
    <row r="44">
      <c r="A44" t="n">
        <v>43</v>
      </c>
      <c r="B44" s="13" t="n">
        <v>45338</v>
      </c>
      <c r="C44" t="inlineStr">
        <is>
          <t>EUR_Operating</t>
        </is>
      </c>
      <c r="D44" t="inlineStr">
        <is>
          <t>EUR</t>
        </is>
      </c>
      <c r="E44" t="inlineStr">
        <is>
          <t>debit</t>
        </is>
      </c>
      <c r="F44" t="n">
        <v>80.52</v>
      </c>
      <c r="G44" t="inlineStr">
        <is>
          <t>Bank Fee</t>
        </is>
      </c>
      <c r="H44" t="inlineStr">
        <is>
          <t>Bank</t>
        </is>
      </c>
      <c r="I44" t="inlineStr">
        <is>
          <t>2024-02</t>
        </is>
      </c>
    </row>
    <row r="45">
      <c r="A45" t="n">
        <v>44</v>
      </c>
      <c r="B45" s="13" t="n">
        <v>45339</v>
      </c>
      <c r="C45" t="inlineStr">
        <is>
          <t>EUR_Operating</t>
        </is>
      </c>
      <c r="D45" t="inlineStr">
        <is>
          <t>EUR</t>
        </is>
      </c>
      <c r="E45" t="inlineStr">
        <is>
          <t>debit</t>
        </is>
      </c>
      <c r="F45" t="n">
        <v>3953.4</v>
      </c>
      <c r="G45" t="inlineStr">
        <is>
          <t>Supplier Payment</t>
        </is>
      </c>
      <c r="H45" t="inlineStr">
        <is>
          <t>Vend_C</t>
        </is>
      </c>
      <c r="I45" t="inlineStr">
        <is>
          <t>2024-02</t>
        </is>
      </c>
    </row>
    <row r="46">
      <c r="A46" t="n">
        <v>45</v>
      </c>
      <c r="B46" s="13" t="n">
        <v>45341</v>
      </c>
      <c r="C46" t="inlineStr">
        <is>
          <t>JPY_Sales</t>
        </is>
      </c>
      <c r="D46" t="inlineStr">
        <is>
          <t>JPY</t>
        </is>
      </c>
      <c r="E46" t="inlineStr">
        <is>
          <t>credit</t>
        </is>
      </c>
      <c r="F46" t="n">
        <v>1960494</v>
      </c>
      <c r="G46" t="inlineStr">
        <is>
          <t>Customer Payment</t>
        </is>
      </c>
      <c r="H46" t="inlineStr">
        <is>
          <t>Cust_A</t>
        </is>
      </c>
      <c r="I46" t="inlineStr">
        <is>
          <t>2024-02</t>
        </is>
      </c>
    </row>
    <row r="47">
      <c r="A47" t="n">
        <v>46</v>
      </c>
      <c r="B47" s="13" t="n">
        <v>45342</v>
      </c>
      <c r="C47" t="inlineStr">
        <is>
          <t>EUR_Operating</t>
        </is>
      </c>
      <c r="D47" t="inlineStr">
        <is>
          <t>EUR</t>
        </is>
      </c>
      <c r="E47" t="inlineStr">
        <is>
          <t>debit</t>
        </is>
      </c>
      <c r="F47" t="n">
        <v>14631.95</v>
      </c>
      <c r="G47" t="inlineStr">
        <is>
          <t>Supplier Payment</t>
        </is>
      </c>
      <c r="H47" t="inlineStr">
        <is>
          <t>Vend_B</t>
        </is>
      </c>
      <c r="I47" t="inlineStr">
        <is>
          <t>2024-02</t>
        </is>
      </c>
    </row>
    <row r="48">
      <c r="A48" t="n">
        <v>47</v>
      </c>
      <c r="B48" s="13" t="n">
        <v>45343</v>
      </c>
      <c r="C48" t="inlineStr">
        <is>
          <t>EUR_Operating</t>
        </is>
      </c>
      <c r="D48" t="inlineStr">
        <is>
          <t>EUR</t>
        </is>
      </c>
      <c r="E48" t="inlineStr">
        <is>
          <t>credit</t>
        </is>
      </c>
      <c r="F48" t="n">
        <v>7058.18</v>
      </c>
      <c r="G48" t="inlineStr">
        <is>
          <t>Customer Payment</t>
        </is>
      </c>
      <c r="H48" t="inlineStr">
        <is>
          <t>Cust_B</t>
        </is>
      </c>
      <c r="I48" t="inlineStr">
        <is>
          <t>2024-02</t>
        </is>
      </c>
    </row>
    <row r="49">
      <c r="A49" t="n">
        <v>48</v>
      </c>
      <c r="B49" s="13" t="n">
        <v>45343</v>
      </c>
      <c r="C49" t="inlineStr">
        <is>
          <t>EUR_Operating</t>
        </is>
      </c>
      <c r="D49" t="inlineStr">
        <is>
          <t>EUR</t>
        </is>
      </c>
      <c r="E49" t="inlineStr">
        <is>
          <t>debit</t>
        </is>
      </c>
      <c r="F49" t="n">
        <v>8265.5</v>
      </c>
      <c r="G49" t="inlineStr">
        <is>
          <t>Supplier Payment</t>
        </is>
      </c>
      <c r="H49" t="inlineStr">
        <is>
          <t>Vend_A</t>
        </is>
      </c>
      <c r="I49" t="inlineStr">
        <is>
          <t>2024-02</t>
        </is>
      </c>
    </row>
    <row r="50">
      <c r="A50" t="n">
        <v>49</v>
      </c>
      <c r="B50" s="13" t="n">
        <v>45344</v>
      </c>
      <c r="C50" t="inlineStr">
        <is>
          <t>EUR_Operating</t>
        </is>
      </c>
      <c r="D50" t="inlineStr">
        <is>
          <t>EUR</t>
        </is>
      </c>
      <c r="E50" t="inlineStr">
        <is>
          <t>credit</t>
        </is>
      </c>
      <c r="F50" t="n">
        <v>2884.62</v>
      </c>
      <c r="G50" t="inlineStr">
        <is>
          <t>Customer Payment</t>
        </is>
      </c>
      <c r="H50" t="inlineStr">
        <is>
          <t>Cust_D</t>
        </is>
      </c>
      <c r="I50" t="inlineStr">
        <is>
          <t>2024-02</t>
        </is>
      </c>
    </row>
    <row r="51">
      <c r="A51" t="n">
        <v>50</v>
      </c>
      <c r="B51" s="13" t="n">
        <v>45345</v>
      </c>
      <c r="C51" t="inlineStr">
        <is>
          <t>EUR_Operating</t>
        </is>
      </c>
      <c r="D51" t="inlineStr">
        <is>
          <t>EUR</t>
        </is>
      </c>
      <c r="E51" t="inlineStr">
        <is>
          <t>debit</t>
        </is>
      </c>
      <c r="F51" t="n">
        <v>3104.25</v>
      </c>
      <c r="G51" t="inlineStr">
        <is>
          <t>Supplier Payment</t>
        </is>
      </c>
      <c r="H51" t="inlineStr">
        <is>
          <t>Vend_A</t>
        </is>
      </c>
      <c r="I51" t="inlineStr">
        <is>
          <t>2024-02</t>
        </is>
      </c>
    </row>
    <row r="52">
      <c r="A52" t="n">
        <v>51</v>
      </c>
      <c r="B52" s="13" t="n">
        <v>45345</v>
      </c>
      <c r="C52" t="inlineStr">
        <is>
          <t>EUR_Operating</t>
        </is>
      </c>
      <c r="D52" t="inlineStr">
        <is>
          <t>EUR</t>
        </is>
      </c>
      <c r="E52" t="inlineStr">
        <is>
          <t>debit</t>
        </is>
      </c>
      <c r="F52" t="n">
        <v>6202.35</v>
      </c>
      <c r="G52" t="inlineStr">
        <is>
          <t>Supplier Payment</t>
        </is>
      </c>
      <c r="H52" t="inlineStr">
        <is>
          <t>Vend_B</t>
        </is>
      </c>
      <c r="I52" t="inlineStr">
        <is>
          <t>2024-02</t>
        </is>
      </c>
    </row>
    <row r="53">
      <c r="A53" t="n">
        <v>52</v>
      </c>
      <c r="B53" s="13" t="n">
        <v>45346</v>
      </c>
      <c r="C53" t="inlineStr">
        <is>
          <t>EUR_Operating</t>
        </is>
      </c>
      <c r="D53" t="inlineStr">
        <is>
          <t>EUR</t>
        </is>
      </c>
      <c r="E53" t="inlineStr">
        <is>
          <t>credit</t>
        </is>
      </c>
      <c r="F53" t="n">
        <v>3566.9</v>
      </c>
      <c r="G53" t="inlineStr">
        <is>
          <t>Customer Payment</t>
        </is>
      </c>
      <c r="H53" t="inlineStr">
        <is>
          <t>Cust_D</t>
        </is>
      </c>
      <c r="I53" t="inlineStr">
        <is>
          <t>2024-02</t>
        </is>
      </c>
    </row>
    <row r="54">
      <c r="A54" t="n">
        <v>53</v>
      </c>
      <c r="B54" s="13" t="n">
        <v>45346</v>
      </c>
      <c r="C54" t="inlineStr">
        <is>
          <t>EUR_Operating</t>
        </is>
      </c>
      <c r="D54" t="inlineStr">
        <is>
          <t>EUR</t>
        </is>
      </c>
      <c r="E54" t="inlineStr">
        <is>
          <t>debit</t>
        </is>
      </c>
      <c r="F54" t="n">
        <v>13428.97</v>
      </c>
      <c r="G54" t="inlineStr">
        <is>
          <t>Supplier Payment</t>
        </is>
      </c>
      <c r="H54" t="inlineStr">
        <is>
          <t>Vend_C</t>
        </is>
      </c>
      <c r="I54" t="inlineStr">
        <is>
          <t>2024-02</t>
        </is>
      </c>
    </row>
    <row r="55">
      <c r="A55" t="n">
        <v>54</v>
      </c>
      <c r="B55" s="13" t="n">
        <v>45346</v>
      </c>
      <c r="C55" t="inlineStr">
        <is>
          <t>EUR_Operating</t>
        </is>
      </c>
      <c r="D55" t="inlineStr">
        <is>
          <t>EUR</t>
        </is>
      </c>
      <c r="E55" t="inlineStr">
        <is>
          <t>debit</t>
        </is>
      </c>
      <c r="F55" t="n">
        <v>14476.47</v>
      </c>
      <c r="G55" t="inlineStr">
        <is>
          <t>Supplier Payment</t>
        </is>
      </c>
      <c r="H55" t="inlineStr">
        <is>
          <t>Vend_B</t>
        </is>
      </c>
      <c r="I55" t="inlineStr">
        <is>
          <t>2024-02</t>
        </is>
      </c>
    </row>
    <row r="56">
      <c r="A56" t="n">
        <v>55</v>
      </c>
      <c r="B56" s="13" t="n">
        <v>45347</v>
      </c>
      <c r="C56" t="inlineStr">
        <is>
          <t>EUR_Operating</t>
        </is>
      </c>
      <c r="D56" t="inlineStr">
        <is>
          <t>EUR</t>
        </is>
      </c>
      <c r="E56" t="inlineStr">
        <is>
          <t>debit</t>
        </is>
      </c>
      <c r="F56" t="n">
        <v>1801.73</v>
      </c>
      <c r="G56" t="inlineStr">
        <is>
          <t>Supplier Payment</t>
        </is>
      </c>
      <c r="H56" t="inlineStr">
        <is>
          <t>Vend_C</t>
        </is>
      </c>
      <c r="I56" t="inlineStr">
        <is>
          <t>2024-02</t>
        </is>
      </c>
    </row>
    <row r="57">
      <c r="A57" t="n">
        <v>56</v>
      </c>
      <c r="B57" s="13" t="n">
        <v>45347</v>
      </c>
      <c r="C57" t="inlineStr">
        <is>
          <t>EUR_Operating</t>
        </is>
      </c>
      <c r="D57" t="inlineStr">
        <is>
          <t>EUR</t>
        </is>
      </c>
      <c r="E57" t="inlineStr">
        <is>
          <t>debit</t>
        </is>
      </c>
      <c r="F57" t="n">
        <v>5097.74</v>
      </c>
      <c r="G57" t="inlineStr">
        <is>
          <t>Supplier Payment</t>
        </is>
      </c>
      <c r="H57" t="inlineStr">
        <is>
          <t>Vend_C</t>
        </is>
      </c>
      <c r="I57" t="inlineStr">
        <is>
          <t>2024-02</t>
        </is>
      </c>
    </row>
    <row r="58">
      <c r="A58" t="n">
        <v>57</v>
      </c>
      <c r="B58" s="13" t="n">
        <v>45347</v>
      </c>
      <c r="C58" t="inlineStr">
        <is>
          <t>EUR_Payroll</t>
        </is>
      </c>
      <c r="D58" t="inlineStr">
        <is>
          <t>EUR</t>
        </is>
      </c>
      <c r="E58" t="inlineStr">
        <is>
          <t>debit</t>
        </is>
      </c>
      <c r="F58" t="n">
        <v>124104.65</v>
      </c>
      <c r="G58" t="inlineStr">
        <is>
          <t>Payroll</t>
        </is>
      </c>
      <c r="H58" t="inlineStr">
        <is>
          <t>Payroll</t>
        </is>
      </c>
      <c r="I58" t="inlineStr">
        <is>
          <t>2024-02</t>
        </is>
      </c>
    </row>
    <row r="59">
      <c r="A59" t="n">
        <v>58</v>
      </c>
      <c r="B59" s="13" t="n">
        <v>45347</v>
      </c>
      <c r="C59" t="inlineStr">
        <is>
          <t>EUR_Operating</t>
        </is>
      </c>
      <c r="D59" t="inlineStr">
        <is>
          <t>EUR</t>
        </is>
      </c>
      <c r="E59" t="inlineStr">
        <is>
          <t>debit</t>
        </is>
      </c>
      <c r="F59" t="n">
        <v>124104.65</v>
      </c>
      <c r="G59" t="inlineStr">
        <is>
          <t>Transfer to Payroll</t>
        </is>
      </c>
      <c r="H59" t="inlineStr">
        <is>
          <t>Payroll</t>
        </is>
      </c>
      <c r="I59" t="inlineStr">
        <is>
          <t>2024-02</t>
        </is>
      </c>
    </row>
    <row r="60">
      <c r="A60" t="n">
        <v>59</v>
      </c>
      <c r="B60" s="13" t="n">
        <v>45348</v>
      </c>
      <c r="C60" t="inlineStr">
        <is>
          <t>EUR_Operating</t>
        </is>
      </c>
      <c r="D60" t="inlineStr">
        <is>
          <t>EUR</t>
        </is>
      </c>
      <c r="E60" t="inlineStr">
        <is>
          <t>credit</t>
        </is>
      </c>
      <c r="F60" t="n">
        <v>11181.57</v>
      </c>
      <c r="G60" t="inlineStr">
        <is>
          <t>Customer Payment</t>
        </is>
      </c>
      <c r="H60" t="inlineStr">
        <is>
          <t>Cust_B</t>
        </is>
      </c>
      <c r="I60" t="inlineStr">
        <is>
          <t>2024-02</t>
        </is>
      </c>
    </row>
    <row r="61">
      <c r="A61" t="n">
        <v>60</v>
      </c>
      <c r="B61" s="13" t="n">
        <v>45349</v>
      </c>
      <c r="C61" t="inlineStr">
        <is>
          <t>EUR_Operating</t>
        </is>
      </c>
      <c r="D61" t="inlineStr">
        <is>
          <t>EUR</t>
        </is>
      </c>
      <c r="E61" t="inlineStr">
        <is>
          <t>credit</t>
        </is>
      </c>
      <c r="F61" t="n">
        <v>12786.38</v>
      </c>
      <c r="G61" t="inlineStr">
        <is>
          <t>Customer Payment</t>
        </is>
      </c>
      <c r="H61" t="inlineStr">
        <is>
          <t>Cust_B</t>
        </is>
      </c>
      <c r="I61" t="inlineStr">
        <is>
          <t>2024-02</t>
        </is>
      </c>
    </row>
    <row r="62">
      <c r="A62" t="n">
        <v>61</v>
      </c>
      <c r="B62" s="13" t="n">
        <v>45349</v>
      </c>
      <c r="C62" t="inlineStr">
        <is>
          <t>EUR_Operating</t>
        </is>
      </c>
      <c r="D62" t="inlineStr">
        <is>
          <t>EUR</t>
        </is>
      </c>
      <c r="E62" t="inlineStr">
        <is>
          <t>credit</t>
        </is>
      </c>
      <c r="F62" t="n">
        <v>2831.3</v>
      </c>
      <c r="G62" t="inlineStr">
        <is>
          <t>Customer Payment</t>
        </is>
      </c>
      <c r="H62" t="inlineStr">
        <is>
          <t>Cust_A</t>
        </is>
      </c>
      <c r="I62" t="inlineStr">
        <is>
          <t>2024-02</t>
        </is>
      </c>
    </row>
    <row r="63">
      <c r="A63" t="n">
        <v>62</v>
      </c>
      <c r="B63" s="13" t="n">
        <v>45349</v>
      </c>
      <c r="C63" t="inlineStr">
        <is>
          <t>USD_Sales</t>
        </is>
      </c>
      <c r="D63" t="inlineStr">
        <is>
          <t>USD</t>
        </is>
      </c>
      <c r="E63" t="inlineStr">
        <is>
          <t>debit</t>
        </is>
      </c>
      <c r="F63" t="n">
        <v>5429.1</v>
      </c>
      <c r="G63" t="inlineStr">
        <is>
          <t>Supplier Payment</t>
        </is>
      </c>
      <c r="H63" t="inlineStr">
        <is>
          <t>Vend_C</t>
        </is>
      </c>
      <c r="I63" t="inlineStr">
        <is>
          <t>2024-02</t>
        </is>
      </c>
    </row>
    <row r="64">
      <c r="A64" t="n">
        <v>63</v>
      </c>
      <c r="B64" s="13" t="n">
        <v>45349</v>
      </c>
      <c r="C64" t="inlineStr">
        <is>
          <t>EUR_Operating</t>
        </is>
      </c>
      <c r="D64" t="inlineStr">
        <is>
          <t>EUR</t>
        </is>
      </c>
      <c r="E64" t="inlineStr">
        <is>
          <t>debit</t>
        </is>
      </c>
      <c r="F64" t="n">
        <v>1687.34</v>
      </c>
      <c r="G64" t="inlineStr">
        <is>
          <t>Supplier Payment</t>
        </is>
      </c>
      <c r="H64" t="inlineStr">
        <is>
          <t>Vend_A</t>
        </is>
      </c>
      <c r="I64" t="inlineStr">
        <is>
          <t>2024-02</t>
        </is>
      </c>
    </row>
    <row r="65">
      <c r="A65" t="n">
        <v>64</v>
      </c>
      <c r="B65" s="13" t="n">
        <v>45350</v>
      </c>
      <c r="C65" t="inlineStr">
        <is>
          <t>EUR_Operating</t>
        </is>
      </c>
      <c r="D65" t="inlineStr">
        <is>
          <t>EUR</t>
        </is>
      </c>
      <c r="E65" t="inlineStr">
        <is>
          <t>credit</t>
        </is>
      </c>
      <c r="F65" t="n">
        <v>12420.98</v>
      </c>
      <c r="G65" t="inlineStr">
        <is>
          <t>Customer Payment</t>
        </is>
      </c>
      <c r="H65" t="inlineStr">
        <is>
          <t>Cust_C</t>
        </is>
      </c>
      <c r="I65" t="inlineStr">
        <is>
          <t>2024-02</t>
        </is>
      </c>
    </row>
    <row r="66">
      <c r="A66" t="n">
        <v>65</v>
      </c>
      <c r="B66" s="13" t="n">
        <v>45350</v>
      </c>
      <c r="C66" t="inlineStr">
        <is>
          <t>EUR_Operating</t>
        </is>
      </c>
      <c r="D66" t="inlineStr">
        <is>
          <t>EUR</t>
        </is>
      </c>
      <c r="E66" t="inlineStr">
        <is>
          <t>debit</t>
        </is>
      </c>
      <c r="F66" t="n">
        <v>4406.85</v>
      </c>
      <c r="G66" t="inlineStr">
        <is>
          <t>Supplier Payment</t>
        </is>
      </c>
      <c r="H66" t="inlineStr">
        <is>
          <t>Vend_C</t>
        </is>
      </c>
      <c r="I66" t="inlineStr">
        <is>
          <t>2024-02</t>
        </is>
      </c>
    </row>
    <row r="67">
      <c r="A67" t="n">
        <v>66</v>
      </c>
      <c r="B67" s="13" t="n">
        <v>45351</v>
      </c>
      <c r="C67" t="inlineStr">
        <is>
          <t>EUR_Operating</t>
        </is>
      </c>
      <c r="D67" t="inlineStr">
        <is>
          <t>EUR</t>
        </is>
      </c>
      <c r="E67" t="inlineStr">
        <is>
          <t>debit</t>
        </is>
      </c>
      <c r="F67" t="n">
        <v>1608.68</v>
      </c>
      <c r="G67" t="inlineStr">
        <is>
          <t>Supplier Payment</t>
        </is>
      </c>
      <c r="H67" t="inlineStr">
        <is>
          <t>Vend_C</t>
        </is>
      </c>
      <c r="I67" t="inlineStr">
        <is>
          <t>2024-02</t>
        </is>
      </c>
    </row>
    <row r="68">
      <c r="A68" t="n">
        <v>67</v>
      </c>
      <c r="B68" s="13" t="n">
        <v>45351</v>
      </c>
      <c r="C68" t="inlineStr">
        <is>
          <t>EUR_Operating</t>
        </is>
      </c>
      <c r="D68" t="inlineStr">
        <is>
          <t>EUR</t>
        </is>
      </c>
      <c r="E68" t="inlineStr">
        <is>
          <t>debit</t>
        </is>
      </c>
      <c r="F68" t="n">
        <v>12015.44</v>
      </c>
      <c r="G68" t="inlineStr">
        <is>
          <t>Supplier Payment</t>
        </is>
      </c>
      <c r="H68" t="inlineStr">
        <is>
          <t>Vend_A</t>
        </is>
      </c>
      <c r="I68" t="inlineStr">
        <is>
          <t>2024-02</t>
        </is>
      </c>
    </row>
    <row r="69">
      <c r="A69" t="n">
        <v>68</v>
      </c>
      <c r="B69" s="13" t="n">
        <v>45352</v>
      </c>
      <c r="C69" t="inlineStr">
        <is>
          <t>EUR_Operating</t>
        </is>
      </c>
      <c r="D69" t="inlineStr">
        <is>
          <t>EUR</t>
        </is>
      </c>
      <c r="E69" t="inlineStr">
        <is>
          <t>debit</t>
        </is>
      </c>
      <c r="F69" t="n">
        <v>13636.36</v>
      </c>
      <c r="G69" t="inlineStr">
        <is>
          <t>Supplier Payment</t>
        </is>
      </c>
      <c r="H69" t="inlineStr">
        <is>
          <t>Vend_B</t>
        </is>
      </c>
      <c r="I69" t="inlineStr">
        <is>
          <t>2024-03</t>
        </is>
      </c>
    </row>
    <row r="70">
      <c r="A70" t="n">
        <v>69</v>
      </c>
      <c r="B70" s="13" t="n">
        <v>45352</v>
      </c>
      <c r="C70" t="inlineStr">
        <is>
          <t>EUR_Operating</t>
        </is>
      </c>
      <c r="D70" t="inlineStr">
        <is>
          <t>EUR</t>
        </is>
      </c>
      <c r="E70" t="inlineStr">
        <is>
          <t>debit</t>
        </is>
      </c>
      <c r="F70" t="n">
        <v>13055.56</v>
      </c>
      <c r="G70" t="inlineStr">
        <is>
          <t>Supplier Payment</t>
        </is>
      </c>
      <c r="H70" t="inlineStr">
        <is>
          <t>Vend_B</t>
        </is>
      </c>
      <c r="I70" t="inlineStr">
        <is>
          <t>2024-03</t>
        </is>
      </c>
    </row>
    <row r="71">
      <c r="A71" t="n">
        <v>70</v>
      </c>
      <c r="B71" s="13" t="n">
        <v>45352</v>
      </c>
      <c r="C71" t="inlineStr">
        <is>
          <t>EUR_Operating</t>
        </is>
      </c>
      <c r="D71" t="inlineStr">
        <is>
          <t>EUR</t>
        </is>
      </c>
      <c r="E71" t="inlineStr">
        <is>
          <t>debit</t>
        </is>
      </c>
      <c r="F71" t="n">
        <v>33723.33</v>
      </c>
      <c r="G71" t="inlineStr">
        <is>
          <t>Loan Interest</t>
        </is>
      </c>
      <c r="H71" t="inlineStr">
        <is>
          <t>Bank Loan</t>
        </is>
      </c>
      <c r="I71" t="inlineStr">
        <is>
          <t>2024-03</t>
        </is>
      </c>
    </row>
    <row r="72">
      <c r="A72" t="n">
        <v>71</v>
      </c>
      <c r="B72" s="13" t="n">
        <v>45353</v>
      </c>
      <c r="C72" t="inlineStr">
        <is>
          <t>EUR_Operating</t>
        </is>
      </c>
      <c r="D72" t="inlineStr">
        <is>
          <t>EUR</t>
        </is>
      </c>
      <c r="E72" t="inlineStr">
        <is>
          <t>debit</t>
        </is>
      </c>
      <c r="F72" t="n">
        <v>5805.73</v>
      </c>
      <c r="G72" t="inlineStr">
        <is>
          <t>Supplier Payment</t>
        </is>
      </c>
      <c r="H72" t="inlineStr">
        <is>
          <t>Vend_B</t>
        </is>
      </c>
      <c r="I72" t="inlineStr">
        <is>
          <t>2024-03</t>
        </is>
      </c>
    </row>
    <row r="73">
      <c r="A73" t="n">
        <v>72</v>
      </c>
      <c r="B73" s="13" t="n">
        <v>45354</v>
      </c>
      <c r="C73" t="inlineStr">
        <is>
          <t>EUR_Operating</t>
        </is>
      </c>
      <c r="D73" t="inlineStr">
        <is>
          <t>EUR</t>
        </is>
      </c>
      <c r="E73" t="inlineStr">
        <is>
          <t>credit</t>
        </is>
      </c>
      <c r="F73" t="n">
        <v>20310.5</v>
      </c>
      <c r="G73" t="inlineStr">
        <is>
          <t>Customer Payment</t>
        </is>
      </c>
      <c r="H73" t="inlineStr">
        <is>
          <t>Cust_B</t>
        </is>
      </c>
      <c r="I73" t="inlineStr">
        <is>
          <t>2024-03</t>
        </is>
      </c>
    </row>
    <row r="74">
      <c r="A74" t="n">
        <v>73</v>
      </c>
      <c r="B74" s="13" t="n">
        <v>45354</v>
      </c>
      <c r="C74" t="inlineStr">
        <is>
          <t>EUR_Operating</t>
        </is>
      </c>
      <c r="D74" t="inlineStr">
        <is>
          <t>EUR</t>
        </is>
      </c>
      <c r="E74" t="inlineStr">
        <is>
          <t>credit</t>
        </is>
      </c>
      <c r="F74" t="n">
        <v>9325.040000000001</v>
      </c>
      <c r="G74" t="inlineStr">
        <is>
          <t>Customer Payment</t>
        </is>
      </c>
      <c r="H74" t="inlineStr">
        <is>
          <t>Cust_D</t>
        </is>
      </c>
      <c r="I74" t="inlineStr">
        <is>
          <t>2024-03</t>
        </is>
      </c>
    </row>
    <row r="75">
      <c r="A75" t="n">
        <v>74</v>
      </c>
      <c r="B75" s="13" t="n">
        <v>45354</v>
      </c>
      <c r="C75" t="inlineStr">
        <is>
          <t>EUR_Operating</t>
        </is>
      </c>
      <c r="D75" t="inlineStr">
        <is>
          <t>EUR</t>
        </is>
      </c>
      <c r="E75" t="inlineStr">
        <is>
          <t>debit</t>
        </is>
      </c>
      <c r="F75" t="n">
        <v>6906.82</v>
      </c>
      <c r="G75" t="inlineStr">
        <is>
          <t>Supplier Payment</t>
        </is>
      </c>
      <c r="H75" t="inlineStr">
        <is>
          <t>Vend_A</t>
        </is>
      </c>
      <c r="I75" t="inlineStr">
        <is>
          <t>2024-03</t>
        </is>
      </c>
    </row>
    <row r="76">
      <c r="A76" t="n">
        <v>75</v>
      </c>
      <c r="B76" s="13" t="n">
        <v>45355</v>
      </c>
      <c r="C76" t="inlineStr">
        <is>
          <t>JPY_Sales</t>
        </is>
      </c>
      <c r="D76" t="inlineStr">
        <is>
          <t>JPY</t>
        </is>
      </c>
      <c r="E76" t="inlineStr">
        <is>
          <t>credit</t>
        </is>
      </c>
      <c r="F76" t="n">
        <v>765924</v>
      </c>
      <c r="G76" t="inlineStr">
        <is>
          <t>Customer Payment</t>
        </is>
      </c>
      <c r="H76" t="inlineStr">
        <is>
          <t>Cust_D</t>
        </is>
      </c>
      <c r="I76" t="inlineStr">
        <is>
          <t>2024-03</t>
        </is>
      </c>
    </row>
    <row r="77">
      <c r="A77" t="n">
        <v>76</v>
      </c>
      <c r="B77" s="13" t="n">
        <v>45355</v>
      </c>
      <c r="C77" t="inlineStr">
        <is>
          <t>EUR_Operating</t>
        </is>
      </c>
      <c r="D77" t="inlineStr">
        <is>
          <t>EUR</t>
        </is>
      </c>
      <c r="E77" t="inlineStr">
        <is>
          <t>debit</t>
        </is>
      </c>
      <c r="F77" t="n">
        <v>8081.5</v>
      </c>
      <c r="G77" t="inlineStr">
        <is>
          <t>Supplier Payment</t>
        </is>
      </c>
      <c r="H77" t="inlineStr">
        <is>
          <t>Vend_A</t>
        </is>
      </c>
      <c r="I77" t="inlineStr">
        <is>
          <t>2024-03</t>
        </is>
      </c>
    </row>
    <row r="78">
      <c r="A78" t="n">
        <v>77</v>
      </c>
      <c r="B78" s="13" t="n">
        <v>45356</v>
      </c>
      <c r="C78" t="inlineStr">
        <is>
          <t>USD_Sales</t>
        </is>
      </c>
      <c r="D78" t="inlineStr">
        <is>
          <t>USD</t>
        </is>
      </c>
      <c r="E78" t="inlineStr">
        <is>
          <t>credit</t>
        </is>
      </c>
      <c r="F78" t="n">
        <v>7970.26</v>
      </c>
      <c r="G78" t="inlineStr">
        <is>
          <t>Customer Payment</t>
        </is>
      </c>
      <c r="H78" t="inlineStr">
        <is>
          <t>Cust_D</t>
        </is>
      </c>
      <c r="I78" t="inlineStr">
        <is>
          <t>2024-03</t>
        </is>
      </c>
    </row>
    <row r="79">
      <c r="A79" t="n">
        <v>78</v>
      </c>
      <c r="B79" s="13" t="n">
        <v>45356</v>
      </c>
      <c r="C79" t="inlineStr">
        <is>
          <t>EUR_Operating</t>
        </is>
      </c>
      <c r="D79" t="inlineStr">
        <is>
          <t>EUR</t>
        </is>
      </c>
      <c r="E79" t="inlineStr">
        <is>
          <t>debit</t>
        </is>
      </c>
      <c r="F79" t="n">
        <v>6463.95</v>
      </c>
      <c r="G79" t="inlineStr">
        <is>
          <t>Supplier Payment</t>
        </is>
      </c>
      <c r="H79" t="inlineStr">
        <is>
          <t>Vend_A</t>
        </is>
      </c>
      <c r="I79" t="inlineStr">
        <is>
          <t>2024-03</t>
        </is>
      </c>
    </row>
    <row r="80">
      <c r="A80" t="n">
        <v>79</v>
      </c>
      <c r="B80" s="13" t="n">
        <v>45356</v>
      </c>
      <c r="C80" t="inlineStr">
        <is>
          <t>EUR_Operating</t>
        </is>
      </c>
      <c r="D80" t="inlineStr">
        <is>
          <t>EUR</t>
        </is>
      </c>
      <c r="E80" t="inlineStr">
        <is>
          <t>debit</t>
        </is>
      </c>
      <c r="F80" t="n">
        <v>3422.01</v>
      </c>
      <c r="G80" t="inlineStr">
        <is>
          <t>Supplier Payment</t>
        </is>
      </c>
      <c r="H80" t="inlineStr">
        <is>
          <t>Vend_B</t>
        </is>
      </c>
      <c r="I80" t="inlineStr">
        <is>
          <t>2024-03</t>
        </is>
      </c>
    </row>
    <row r="81">
      <c r="A81" t="n">
        <v>80</v>
      </c>
      <c r="B81" s="13" t="n">
        <v>45357</v>
      </c>
      <c r="C81" t="inlineStr">
        <is>
          <t>EUR_Operating</t>
        </is>
      </c>
      <c r="D81" t="inlineStr">
        <is>
          <t>EUR</t>
        </is>
      </c>
      <c r="E81" t="inlineStr">
        <is>
          <t>credit</t>
        </is>
      </c>
      <c r="F81" t="n">
        <v>11567.82</v>
      </c>
      <c r="G81" t="inlineStr">
        <is>
          <t>Customer Payment</t>
        </is>
      </c>
      <c r="H81" t="inlineStr">
        <is>
          <t>Cust_B</t>
        </is>
      </c>
      <c r="I81" t="inlineStr">
        <is>
          <t>2024-03</t>
        </is>
      </c>
    </row>
    <row r="82">
      <c r="A82" t="n">
        <v>81</v>
      </c>
      <c r="B82" s="13" t="n">
        <v>45357</v>
      </c>
      <c r="C82" t="inlineStr">
        <is>
          <t>EUR_Operating</t>
        </is>
      </c>
      <c r="D82" t="inlineStr">
        <is>
          <t>EUR</t>
        </is>
      </c>
      <c r="E82" t="inlineStr">
        <is>
          <t>credit</t>
        </is>
      </c>
      <c r="F82" t="n">
        <v>5653.15</v>
      </c>
      <c r="G82" t="inlineStr">
        <is>
          <t>Customer Payment</t>
        </is>
      </c>
      <c r="H82" t="inlineStr">
        <is>
          <t>Cust_D</t>
        </is>
      </c>
      <c r="I82" t="inlineStr">
        <is>
          <t>2024-03</t>
        </is>
      </c>
    </row>
    <row r="83">
      <c r="A83" t="n">
        <v>82</v>
      </c>
      <c r="B83" s="13" t="n">
        <v>45357</v>
      </c>
      <c r="C83" t="inlineStr">
        <is>
          <t>EUR_Operating</t>
        </is>
      </c>
      <c r="D83" t="inlineStr">
        <is>
          <t>EUR</t>
        </is>
      </c>
      <c r="E83" t="inlineStr">
        <is>
          <t>debit</t>
        </is>
      </c>
      <c r="F83" t="n">
        <v>6463.95</v>
      </c>
      <c r="G83" t="inlineStr">
        <is>
          <t>Supplier Payment</t>
        </is>
      </c>
      <c r="H83" t="inlineStr">
        <is>
          <t>Vend_A</t>
        </is>
      </c>
      <c r="I83" t="inlineStr">
        <is>
          <t>2024-03</t>
        </is>
      </c>
    </row>
    <row r="84">
      <c r="A84" t="n">
        <v>83</v>
      </c>
      <c r="B84" s="13" t="n">
        <v>45358</v>
      </c>
      <c r="C84" t="inlineStr">
        <is>
          <t>EUR_Operating</t>
        </is>
      </c>
      <c r="D84" t="inlineStr">
        <is>
          <t>EUR</t>
        </is>
      </c>
      <c r="E84" t="inlineStr">
        <is>
          <t>credit</t>
        </is>
      </c>
      <c r="F84" t="n">
        <v>3261.36</v>
      </c>
      <c r="G84" t="inlineStr">
        <is>
          <t>Customer Payment</t>
        </is>
      </c>
      <c r="H84" t="inlineStr">
        <is>
          <t>Cust_A</t>
        </is>
      </c>
      <c r="I84" t="inlineStr">
        <is>
          <t>2024-03</t>
        </is>
      </c>
    </row>
    <row r="85">
      <c r="A85" t="n">
        <v>84</v>
      </c>
      <c r="B85" s="13" t="n">
        <v>45358</v>
      </c>
      <c r="C85" t="inlineStr">
        <is>
          <t>EUR_Operating</t>
        </is>
      </c>
      <c r="D85" t="inlineStr">
        <is>
          <t>EUR</t>
        </is>
      </c>
      <c r="E85" t="inlineStr">
        <is>
          <t>debit</t>
        </is>
      </c>
      <c r="F85" t="n">
        <v>13636.36</v>
      </c>
      <c r="G85" t="inlineStr">
        <is>
          <t>Supplier Payment</t>
        </is>
      </c>
      <c r="H85" t="inlineStr">
        <is>
          <t>Vend_B</t>
        </is>
      </c>
      <c r="I85" t="inlineStr">
        <is>
          <t>2024-03</t>
        </is>
      </c>
    </row>
    <row r="86">
      <c r="A86" t="n">
        <v>85</v>
      </c>
      <c r="B86" s="13" t="n">
        <v>45358</v>
      </c>
      <c r="C86" t="inlineStr">
        <is>
          <t>EUR_Operating</t>
        </is>
      </c>
      <c r="D86" t="inlineStr">
        <is>
          <t>EUR</t>
        </is>
      </c>
      <c r="E86" t="inlineStr">
        <is>
          <t>debit</t>
        </is>
      </c>
      <c r="F86" t="n">
        <v>11590.99</v>
      </c>
      <c r="G86" t="inlineStr">
        <is>
          <t>Supplier Payment</t>
        </is>
      </c>
      <c r="H86" t="inlineStr">
        <is>
          <t>Vend_A</t>
        </is>
      </c>
      <c r="I86" t="inlineStr">
        <is>
          <t>2024-03</t>
        </is>
      </c>
    </row>
    <row r="87">
      <c r="A87" t="n">
        <v>86</v>
      </c>
      <c r="B87" s="13" t="n">
        <v>45359</v>
      </c>
      <c r="C87" t="inlineStr">
        <is>
          <t>EUR_Operating</t>
        </is>
      </c>
      <c r="D87" t="inlineStr">
        <is>
          <t>EUR</t>
        </is>
      </c>
      <c r="E87" t="inlineStr">
        <is>
          <t>debit</t>
        </is>
      </c>
      <c r="F87" t="n">
        <v>2910.89</v>
      </c>
      <c r="G87" t="inlineStr">
        <is>
          <t>Supplier Payment</t>
        </is>
      </c>
      <c r="H87" t="inlineStr">
        <is>
          <t>Vend_A</t>
        </is>
      </c>
      <c r="I87" t="inlineStr">
        <is>
          <t>2024-03</t>
        </is>
      </c>
    </row>
    <row r="88">
      <c r="A88" t="n">
        <v>87</v>
      </c>
      <c r="B88" s="13" t="n">
        <v>45359</v>
      </c>
      <c r="C88" t="inlineStr">
        <is>
          <t>EUR_Operating</t>
        </is>
      </c>
      <c r="D88" t="inlineStr">
        <is>
          <t>EUR</t>
        </is>
      </c>
      <c r="E88" t="inlineStr">
        <is>
          <t>debit</t>
        </is>
      </c>
      <c r="F88" t="n">
        <v>2776.21</v>
      </c>
      <c r="G88" t="inlineStr">
        <is>
          <t>Supplier Payment</t>
        </is>
      </c>
      <c r="H88" t="inlineStr">
        <is>
          <t>Vend_C</t>
        </is>
      </c>
      <c r="I88" t="inlineStr">
        <is>
          <t>2024-03</t>
        </is>
      </c>
    </row>
    <row r="89">
      <c r="A89" t="n">
        <v>88</v>
      </c>
      <c r="B89" s="13" t="n">
        <v>45360</v>
      </c>
      <c r="C89" t="inlineStr">
        <is>
          <t>EUR_Operating</t>
        </is>
      </c>
      <c r="D89" t="inlineStr">
        <is>
          <t>EUR</t>
        </is>
      </c>
      <c r="E89" t="inlineStr">
        <is>
          <t>credit</t>
        </is>
      </c>
      <c r="F89" t="n">
        <v>9924.440000000001</v>
      </c>
      <c r="G89" t="inlineStr">
        <is>
          <t>Customer Payment</t>
        </is>
      </c>
      <c r="H89" t="inlineStr">
        <is>
          <t>Cust_C</t>
        </is>
      </c>
      <c r="I89" t="inlineStr">
        <is>
          <t>2024-03</t>
        </is>
      </c>
    </row>
    <row r="90">
      <c r="A90" t="n">
        <v>89</v>
      </c>
      <c r="B90" s="13" t="n">
        <v>45362</v>
      </c>
      <c r="C90" t="inlineStr">
        <is>
          <t>EUR_Operating</t>
        </is>
      </c>
      <c r="D90" t="inlineStr">
        <is>
          <t>EUR</t>
        </is>
      </c>
      <c r="E90" t="inlineStr">
        <is>
          <t>credit</t>
        </is>
      </c>
      <c r="F90" t="n">
        <v>5141.89</v>
      </c>
      <c r="G90" t="inlineStr">
        <is>
          <t>Customer Payment</t>
        </is>
      </c>
      <c r="H90" t="inlineStr">
        <is>
          <t>Cust_A</t>
        </is>
      </c>
      <c r="I90" t="inlineStr">
        <is>
          <t>2024-03</t>
        </is>
      </c>
    </row>
    <row r="91">
      <c r="A91" t="n">
        <v>90</v>
      </c>
      <c r="B91" s="13" t="n">
        <v>45362</v>
      </c>
      <c r="C91" t="inlineStr">
        <is>
          <t>EUR_Operating</t>
        </is>
      </c>
      <c r="D91" t="inlineStr">
        <is>
          <t>EUR</t>
        </is>
      </c>
      <c r="E91" t="inlineStr">
        <is>
          <t>debit</t>
        </is>
      </c>
      <c r="F91" t="n">
        <v>7643.37</v>
      </c>
      <c r="G91" t="inlineStr">
        <is>
          <t>Supplier Payment</t>
        </is>
      </c>
      <c r="H91" t="inlineStr">
        <is>
          <t>Vend_B</t>
        </is>
      </c>
      <c r="I91" t="inlineStr">
        <is>
          <t>2024-03</t>
        </is>
      </c>
    </row>
    <row r="92">
      <c r="A92" t="n">
        <v>91</v>
      </c>
      <c r="B92" s="13" t="n">
        <v>45364</v>
      </c>
      <c r="C92" t="inlineStr">
        <is>
          <t>EUR_Operating</t>
        </is>
      </c>
      <c r="D92" t="inlineStr">
        <is>
          <t>EUR</t>
        </is>
      </c>
      <c r="E92" t="inlineStr">
        <is>
          <t>credit</t>
        </is>
      </c>
      <c r="F92" t="n">
        <v>17875.67</v>
      </c>
      <c r="G92" t="inlineStr">
        <is>
          <t>Customer Payment</t>
        </is>
      </c>
      <c r="H92" t="inlineStr">
        <is>
          <t>Cust_C</t>
        </is>
      </c>
      <c r="I92" t="inlineStr">
        <is>
          <t>2024-03</t>
        </is>
      </c>
    </row>
    <row r="93">
      <c r="A93" t="n">
        <v>92</v>
      </c>
      <c r="B93" s="13" t="n">
        <v>45364</v>
      </c>
      <c r="C93" t="inlineStr">
        <is>
          <t>EUR_Operating</t>
        </is>
      </c>
      <c r="D93" t="inlineStr">
        <is>
          <t>EUR</t>
        </is>
      </c>
      <c r="E93" t="inlineStr">
        <is>
          <t>debit</t>
        </is>
      </c>
      <c r="F93" t="n">
        <v>3223.73</v>
      </c>
      <c r="G93" t="inlineStr">
        <is>
          <t>Supplier Payment</t>
        </is>
      </c>
      <c r="H93" t="inlineStr">
        <is>
          <t>Vend_A</t>
        </is>
      </c>
      <c r="I93" t="inlineStr">
        <is>
          <t>2024-03</t>
        </is>
      </c>
    </row>
    <row r="94">
      <c r="A94" t="n">
        <v>93</v>
      </c>
      <c r="B94" s="13" t="n">
        <v>45364</v>
      </c>
      <c r="C94" t="inlineStr">
        <is>
          <t>EUR_Operating</t>
        </is>
      </c>
      <c r="D94" t="inlineStr">
        <is>
          <t>EUR</t>
        </is>
      </c>
      <c r="E94" t="inlineStr">
        <is>
          <t>debit</t>
        </is>
      </c>
      <c r="F94" t="n">
        <v>4467.06</v>
      </c>
      <c r="G94" t="inlineStr">
        <is>
          <t>Supplier Payment</t>
        </is>
      </c>
      <c r="H94" t="inlineStr">
        <is>
          <t>Vend_A</t>
        </is>
      </c>
      <c r="I94" t="inlineStr">
        <is>
          <t>2024-03</t>
        </is>
      </c>
    </row>
    <row r="95">
      <c r="A95" t="n">
        <v>94</v>
      </c>
      <c r="B95" s="13" t="n">
        <v>45365</v>
      </c>
      <c r="C95" t="inlineStr">
        <is>
          <t>EUR_Operating</t>
        </is>
      </c>
      <c r="D95" t="inlineStr">
        <is>
          <t>EUR</t>
        </is>
      </c>
      <c r="E95" t="inlineStr">
        <is>
          <t>credit</t>
        </is>
      </c>
      <c r="F95" t="n">
        <v>16141.06</v>
      </c>
      <c r="G95" t="inlineStr">
        <is>
          <t>Customer Payment</t>
        </is>
      </c>
      <c r="H95" t="inlineStr">
        <is>
          <t>Cust_D</t>
        </is>
      </c>
      <c r="I95" t="inlineStr">
        <is>
          <t>2024-03</t>
        </is>
      </c>
    </row>
    <row r="96">
      <c r="A96" t="n">
        <v>95</v>
      </c>
      <c r="B96" s="13" t="n">
        <v>45365</v>
      </c>
      <c r="C96" t="inlineStr">
        <is>
          <t>EUR_Operating</t>
        </is>
      </c>
      <c r="D96" t="inlineStr">
        <is>
          <t>EUR</t>
        </is>
      </c>
      <c r="E96" t="inlineStr">
        <is>
          <t>debit</t>
        </is>
      </c>
      <c r="F96" t="n">
        <v>2070.54</v>
      </c>
      <c r="G96" t="inlineStr">
        <is>
          <t>Supplier Payment</t>
        </is>
      </c>
      <c r="H96" t="inlineStr">
        <is>
          <t>Vend_C</t>
        </is>
      </c>
      <c r="I96" t="inlineStr">
        <is>
          <t>2024-03</t>
        </is>
      </c>
    </row>
    <row r="97">
      <c r="A97" t="n">
        <v>96</v>
      </c>
      <c r="B97" s="13" t="n">
        <v>45366</v>
      </c>
      <c r="C97" t="inlineStr">
        <is>
          <t>EUR_Operating</t>
        </is>
      </c>
      <c r="D97" t="inlineStr">
        <is>
          <t>EUR</t>
        </is>
      </c>
      <c r="E97" t="inlineStr">
        <is>
          <t>credit</t>
        </is>
      </c>
      <c r="F97" t="n">
        <v>7086.27</v>
      </c>
      <c r="G97" t="inlineStr">
        <is>
          <t>Customer Payment</t>
        </is>
      </c>
      <c r="H97" t="inlineStr">
        <is>
          <t>Cust_A</t>
        </is>
      </c>
      <c r="I97" t="inlineStr">
        <is>
          <t>2024-03</t>
        </is>
      </c>
    </row>
    <row r="98">
      <c r="A98" t="n">
        <v>97</v>
      </c>
      <c r="B98" s="13" t="n">
        <v>45366</v>
      </c>
      <c r="C98" t="inlineStr">
        <is>
          <t>EUR_Operating</t>
        </is>
      </c>
      <c r="D98" t="inlineStr">
        <is>
          <t>EUR</t>
        </is>
      </c>
      <c r="E98" t="inlineStr">
        <is>
          <t>debit</t>
        </is>
      </c>
      <c r="F98" t="n">
        <v>2258.89</v>
      </c>
      <c r="G98" t="inlineStr">
        <is>
          <t>Supplier Payment</t>
        </is>
      </c>
      <c r="H98" t="inlineStr">
        <is>
          <t>Vend_B</t>
        </is>
      </c>
      <c r="I98" t="inlineStr">
        <is>
          <t>2024-03</t>
        </is>
      </c>
    </row>
    <row r="99">
      <c r="A99" t="n">
        <v>98</v>
      </c>
      <c r="B99" s="13" t="n">
        <v>45367</v>
      </c>
      <c r="C99" t="inlineStr">
        <is>
          <t>EUR_Operating</t>
        </is>
      </c>
      <c r="D99" t="inlineStr">
        <is>
          <t>EUR</t>
        </is>
      </c>
      <c r="E99" t="inlineStr">
        <is>
          <t>debit</t>
        </is>
      </c>
      <c r="F99" t="n">
        <v>13294.11</v>
      </c>
      <c r="G99" t="inlineStr">
        <is>
          <t>Supplier Payment</t>
        </is>
      </c>
      <c r="H99" t="inlineStr">
        <is>
          <t>Vend_B</t>
        </is>
      </c>
      <c r="I99" t="inlineStr">
        <is>
          <t>2024-03</t>
        </is>
      </c>
    </row>
    <row r="100">
      <c r="A100" t="n">
        <v>99</v>
      </c>
      <c r="B100" s="13" t="n">
        <v>45368</v>
      </c>
      <c r="C100" t="inlineStr">
        <is>
          <t>EUR_Operating</t>
        </is>
      </c>
      <c r="D100" t="inlineStr">
        <is>
          <t>EUR</t>
        </is>
      </c>
      <c r="E100" t="inlineStr">
        <is>
          <t>credit</t>
        </is>
      </c>
      <c r="F100" t="n">
        <v>16552.14</v>
      </c>
      <c r="G100" t="inlineStr">
        <is>
          <t>Customer Payment</t>
        </is>
      </c>
      <c r="H100" t="inlineStr">
        <is>
          <t>Cust_C</t>
        </is>
      </c>
      <c r="I100" t="inlineStr">
        <is>
          <t>2024-03</t>
        </is>
      </c>
    </row>
    <row r="101">
      <c r="A101" t="n">
        <v>100</v>
      </c>
      <c r="B101" s="13" t="n">
        <v>45368</v>
      </c>
      <c r="C101" t="inlineStr">
        <is>
          <t>EUR_Operating</t>
        </is>
      </c>
      <c r="D101" t="inlineStr">
        <is>
          <t>EUR</t>
        </is>
      </c>
      <c r="E101" t="inlineStr">
        <is>
          <t>credit</t>
        </is>
      </c>
      <c r="F101" t="n">
        <v>5678.01</v>
      </c>
      <c r="G101" t="inlineStr">
        <is>
          <t>Customer Payment</t>
        </is>
      </c>
      <c r="H101" t="inlineStr">
        <is>
          <t>Cust_D</t>
        </is>
      </c>
      <c r="I101" t="inlineStr">
        <is>
          <t>2024-03</t>
        </is>
      </c>
    </row>
    <row r="102">
      <c r="A102" t="n">
        <v>101</v>
      </c>
      <c r="B102" s="13" t="n">
        <v>45369</v>
      </c>
      <c r="C102" t="inlineStr">
        <is>
          <t>EUR_Operating</t>
        </is>
      </c>
      <c r="D102" t="inlineStr">
        <is>
          <t>EUR</t>
        </is>
      </c>
      <c r="E102" t="inlineStr">
        <is>
          <t>debit</t>
        </is>
      </c>
      <c r="F102" t="n">
        <v>11372.33</v>
      </c>
      <c r="G102" t="inlineStr">
        <is>
          <t>Supplier Payment</t>
        </is>
      </c>
      <c r="H102" t="inlineStr">
        <is>
          <t>Vend_C</t>
        </is>
      </c>
      <c r="I102" t="inlineStr">
        <is>
          <t>2024-03</t>
        </is>
      </c>
    </row>
    <row r="103">
      <c r="A103" t="n">
        <v>102</v>
      </c>
      <c r="B103" s="13" t="n">
        <v>45369</v>
      </c>
      <c r="C103" t="inlineStr">
        <is>
          <t>EUR_Operating</t>
        </is>
      </c>
      <c r="D103" t="inlineStr">
        <is>
          <t>EUR</t>
        </is>
      </c>
      <c r="E103" t="inlineStr">
        <is>
          <t>debit</t>
        </is>
      </c>
      <c r="F103" t="n">
        <v>9513.719999999999</v>
      </c>
      <c r="G103" t="inlineStr">
        <is>
          <t>Supplier Payment</t>
        </is>
      </c>
      <c r="H103" t="inlineStr">
        <is>
          <t>Vend_C</t>
        </is>
      </c>
      <c r="I103" t="inlineStr">
        <is>
          <t>2024-03</t>
        </is>
      </c>
    </row>
    <row r="104">
      <c r="A104" t="n">
        <v>103</v>
      </c>
      <c r="B104" s="13" t="n">
        <v>45370</v>
      </c>
      <c r="C104" t="inlineStr">
        <is>
          <t>EUR_Operating</t>
        </is>
      </c>
      <c r="D104" t="inlineStr">
        <is>
          <t>EUR</t>
        </is>
      </c>
      <c r="E104" t="inlineStr">
        <is>
          <t>credit</t>
        </is>
      </c>
      <c r="F104" t="n">
        <v>21184.64</v>
      </c>
      <c r="G104" t="inlineStr">
        <is>
          <t>Customer Payment</t>
        </is>
      </c>
      <c r="H104" t="inlineStr">
        <is>
          <t>Cust_B</t>
        </is>
      </c>
      <c r="I104" t="inlineStr">
        <is>
          <t>2024-03</t>
        </is>
      </c>
    </row>
    <row r="105">
      <c r="A105" t="n">
        <v>104</v>
      </c>
      <c r="B105" s="13" t="n">
        <v>45370</v>
      </c>
      <c r="C105" t="inlineStr">
        <is>
          <t>USD_Sales</t>
        </is>
      </c>
      <c r="D105" t="inlineStr">
        <is>
          <t>USD</t>
        </is>
      </c>
      <c r="E105" t="inlineStr">
        <is>
          <t>credit</t>
        </is>
      </c>
      <c r="F105" t="n">
        <v>2105</v>
      </c>
      <c r="G105" t="inlineStr">
        <is>
          <t>Customer Payment</t>
        </is>
      </c>
      <c r="H105" t="inlineStr">
        <is>
          <t>Cust_B</t>
        </is>
      </c>
      <c r="I105" t="inlineStr">
        <is>
          <t>2024-03</t>
        </is>
      </c>
    </row>
    <row r="106">
      <c r="A106" t="n">
        <v>105</v>
      </c>
      <c r="B106" s="13" t="n">
        <v>45370</v>
      </c>
      <c r="C106" t="inlineStr">
        <is>
          <t>EUR_Operating</t>
        </is>
      </c>
      <c r="D106" t="inlineStr">
        <is>
          <t>EUR</t>
        </is>
      </c>
      <c r="E106" t="inlineStr">
        <is>
          <t>debit</t>
        </is>
      </c>
      <c r="F106" t="n">
        <v>6126.56</v>
      </c>
      <c r="G106" t="inlineStr">
        <is>
          <t>Supplier Payment</t>
        </is>
      </c>
      <c r="H106" t="inlineStr">
        <is>
          <t>Vend_B</t>
        </is>
      </c>
      <c r="I106" t="inlineStr">
        <is>
          <t>2024-03</t>
        </is>
      </c>
    </row>
    <row r="107">
      <c r="A107" t="n">
        <v>106</v>
      </c>
      <c r="B107" s="13" t="n">
        <v>45370</v>
      </c>
      <c r="C107" t="inlineStr">
        <is>
          <t>EUR_Operating</t>
        </is>
      </c>
      <c r="D107" t="inlineStr">
        <is>
          <t>EUR</t>
        </is>
      </c>
      <c r="E107" t="inlineStr">
        <is>
          <t>debit</t>
        </is>
      </c>
      <c r="F107" t="n">
        <v>3099.6</v>
      </c>
      <c r="G107" t="inlineStr">
        <is>
          <t>Supplier Payment</t>
        </is>
      </c>
      <c r="H107" t="inlineStr">
        <is>
          <t>Vend_C</t>
        </is>
      </c>
      <c r="I107" t="inlineStr">
        <is>
          <t>2024-03</t>
        </is>
      </c>
    </row>
    <row r="108">
      <c r="A108" t="n">
        <v>107</v>
      </c>
      <c r="B108" s="13" t="n">
        <v>45370</v>
      </c>
      <c r="C108" t="inlineStr">
        <is>
          <t>EUR_Operating</t>
        </is>
      </c>
      <c r="D108" t="inlineStr">
        <is>
          <t>EUR</t>
        </is>
      </c>
      <c r="E108" t="inlineStr">
        <is>
          <t>debit</t>
        </is>
      </c>
      <c r="F108" t="n">
        <v>3973.79</v>
      </c>
      <c r="G108" t="inlineStr">
        <is>
          <t>Supplier Payment</t>
        </is>
      </c>
      <c r="H108" t="inlineStr">
        <is>
          <t>Vend_C</t>
        </is>
      </c>
      <c r="I108" t="inlineStr">
        <is>
          <t>2024-03</t>
        </is>
      </c>
    </row>
    <row r="109">
      <c r="A109" t="n">
        <v>108</v>
      </c>
      <c r="B109" s="13" t="n">
        <v>45371</v>
      </c>
      <c r="C109" t="inlineStr">
        <is>
          <t>EUR_Operating</t>
        </is>
      </c>
      <c r="D109" t="inlineStr">
        <is>
          <t>EUR</t>
        </is>
      </c>
      <c r="E109" t="inlineStr">
        <is>
          <t>debit</t>
        </is>
      </c>
      <c r="F109" t="n">
        <v>4735.36</v>
      </c>
      <c r="G109" t="inlineStr">
        <is>
          <t>Supplier Payment</t>
        </is>
      </c>
      <c r="H109" t="inlineStr">
        <is>
          <t>Vend_B</t>
        </is>
      </c>
      <c r="I109" t="inlineStr">
        <is>
          <t>2024-03</t>
        </is>
      </c>
    </row>
    <row r="110">
      <c r="A110" t="n">
        <v>109</v>
      </c>
      <c r="B110" s="13" t="n">
        <v>45372</v>
      </c>
      <c r="C110" t="inlineStr">
        <is>
          <t>EUR_Operating</t>
        </is>
      </c>
      <c r="D110" t="inlineStr">
        <is>
          <t>EUR</t>
        </is>
      </c>
      <c r="E110" t="inlineStr">
        <is>
          <t>credit</t>
        </is>
      </c>
      <c r="F110" t="n">
        <v>10549.8</v>
      </c>
      <c r="G110" t="inlineStr">
        <is>
          <t>Customer Payment</t>
        </is>
      </c>
      <c r="H110" t="inlineStr">
        <is>
          <t>Cust_A</t>
        </is>
      </c>
      <c r="I110" t="inlineStr">
        <is>
          <t>2024-03</t>
        </is>
      </c>
    </row>
    <row r="111">
      <c r="A111" t="n">
        <v>110</v>
      </c>
      <c r="B111" s="13" t="n">
        <v>45372</v>
      </c>
      <c r="C111" t="inlineStr">
        <is>
          <t>EUR_Operating</t>
        </is>
      </c>
      <c r="D111" t="inlineStr">
        <is>
          <t>EUR</t>
        </is>
      </c>
      <c r="E111" t="inlineStr">
        <is>
          <t>credit</t>
        </is>
      </c>
      <c r="F111" t="n">
        <v>5290.4</v>
      </c>
      <c r="G111" t="inlineStr">
        <is>
          <t>Customer Payment</t>
        </is>
      </c>
      <c r="H111" t="inlineStr">
        <is>
          <t>Cust_A</t>
        </is>
      </c>
      <c r="I111" t="inlineStr">
        <is>
          <t>2024-03</t>
        </is>
      </c>
    </row>
    <row r="112">
      <c r="A112" t="n">
        <v>111</v>
      </c>
      <c r="B112" s="13" t="n">
        <v>45372</v>
      </c>
      <c r="C112" t="inlineStr">
        <is>
          <t>EUR_Operating</t>
        </is>
      </c>
      <c r="D112" t="inlineStr">
        <is>
          <t>EUR</t>
        </is>
      </c>
      <c r="E112" t="inlineStr">
        <is>
          <t>credit</t>
        </is>
      </c>
      <c r="F112" t="n">
        <v>8749.450000000001</v>
      </c>
      <c r="G112" t="inlineStr">
        <is>
          <t>Customer Payment</t>
        </is>
      </c>
      <c r="H112" t="inlineStr">
        <is>
          <t>Cust_B</t>
        </is>
      </c>
      <c r="I112" t="inlineStr">
        <is>
          <t>2024-03</t>
        </is>
      </c>
    </row>
    <row r="113">
      <c r="A113" t="n">
        <v>112</v>
      </c>
      <c r="B113" s="13" t="n">
        <v>45372</v>
      </c>
      <c r="C113" t="inlineStr">
        <is>
          <t>EUR_Operating</t>
        </is>
      </c>
      <c r="D113" t="inlineStr">
        <is>
          <t>EUR</t>
        </is>
      </c>
      <c r="E113" t="inlineStr">
        <is>
          <t>credit</t>
        </is>
      </c>
      <c r="F113" t="n">
        <v>6920.11</v>
      </c>
      <c r="G113" t="inlineStr">
        <is>
          <t>Customer Payment</t>
        </is>
      </c>
      <c r="H113" t="inlineStr">
        <is>
          <t>Cust_D</t>
        </is>
      </c>
      <c r="I113" t="inlineStr">
        <is>
          <t>2024-03</t>
        </is>
      </c>
    </row>
    <row r="114">
      <c r="A114" t="n">
        <v>113</v>
      </c>
      <c r="B114" s="13" t="n">
        <v>45372</v>
      </c>
      <c r="C114" t="inlineStr">
        <is>
          <t>EUR_Operating</t>
        </is>
      </c>
      <c r="D114" t="inlineStr">
        <is>
          <t>EUR</t>
        </is>
      </c>
      <c r="E114" t="inlineStr">
        <is>
          <t>debit</t>
        </is>
      </c>
      <c r="F114" t="n">
        <v>20071.38</v>
      </c>
      <c r="G114" t="inlineStr">
        <is>
          <t>Supplier Payment</t>
        </is>
      </c>
      <c r="H114" t="inlineStr">
        <is>
          <t>Vend_A</t>
        </is>
      </c>
      <c r="I114" t="inlineStr">
        <is>
          <t>2024-03</t>
        </is>
      </c>
    </row>
    <row r="115">
      <c r="A115" t="n">
        <v>114</v>
      </c>
      <c r="B115" s="13" t="n">
        <v>45373</v>
      </c>
      <c r="C115" t="inlineStr">
        <is>
          <t>EUR_Operating</t>
        </is>
      </c>
      <c r="D115" t="inlineStr">
        <is>
          <t>EUR</t>
        </is>
      </c>
      <c r="E115" t="inlineStr">
        <is>
          <t>credit</t>
        </is>
      </c>
      <c r="F115" t="n">
        <v>7118.63</v>
      </c>
      <c r="G115" t="inlineStr">
        <is>
          <t>Customer Payment</t>
        </is>
      </c>
      <c r="H115" t="inlineStr">
        <is>
          <t>Cust_A</t>
        </is>
      </c>
      <c r="I115" t="inlineStr">
        <is>
          <t>2024-03</t>
        </is>
      </c>
    </row>
    <row r="116">
      <c r="A116" t="n">
        <v>115</v>
      </c>
      <c r="B116" s="13" t="n">
        <v>45373</v>
      </c>
      <c r="C116" t="inlineStr">
        <is>
          <t>EUR_Operating</t>
        </is>
      </c>
      <c r="D116" t="inlineStr">
        <is>
          <t>EUR</t>
        </is>
      </c>
      <c r="E116" t="inlineStr">
        <is>
          <t>credit</t>
        </is>
      </c>
      <c r="F116" t="n">
        <v>2754.81</v>
      </c>
      <c r="G116" t="inlineStr">
        <is>
          <t>Customer Payment</t>
        </is>
      </c>
      <c r="H116" t="inlineStr">
        <is>
          <t>Cust_B</t>
        </is>
      </c>
      <c r="I116" t="inlineStr">
        <is>
          <t>2024-03</t>
        </is>
      </c>
    </row>
    <row r="117">
      <c r="A117" t="n">
        <v>116</v>
      </c>
      <c r="B117" s="13" t="n">
        <v>45374</v>
      </c>
      <c r="C117" t="inlineStr">
        <is>
          <t>EUR_Operating</t>
        </is>
      </c>
      <c r="D117" t="inlineStr">
        <is>
          <t>EUR</t>
        </is>
      </c>
      <c r="E117" t="inlineStr">
        <is>
          <t>debit</t>
        </is>
      </c>
      <c r="F117" t="n">
        <v>3776.59</v>
      </c>
      <c r="G117" t="inlineStr">
        <is>
          <t>Supplier Payment</t>
        </is>
      </c>
      <c r="H117" t="inlineStr">
        <is>
          <t>Vend_C</t>
        </is>
      </c>
      <c r="I117" t="inlineStr">
        <is>
          <t>2024-03</t>
        </is>
      </c>
    </row>
    <row r="118">
      <c r="A118" t="n">
        <v>117</v>
      </c>
      <c r="B118" s="13" t="n">
        <v>45374</v>
      </c>
      <c r="C118" t="inlineStr">
        <is>
          <t>EUR_Operating</t>
        </is>
      </c>
      <c r="D118" t="inlineStr">
        <is>
          <t>EUR</t>
        </is>
      </c>
      <c r="E118" t="inlineStr">
        <is>
          <t>debit</t>
        </is>
      </c>
      <c r="F118" t="n">
        <v>9513.719999999999</v>
      </c>
      <c r="G118" t="inlineStr">
        <is>
          <t>Supplier Payment</t>
        </is>
      </c>
      <c r="H118" t="inlineStr">
        <is>
          <t>Vend_C</t>
        </is>
      </c>
      <c r="I118" t="inlineStr">
        <is>
          <t>2024-03</t>
        </is>
      </c>
    </row>
    <row r="119">
      <c r="A119" t="n">
        <v>118</v>
      </c>
      <c r="B119" s="13" t="n">
        <v>45375</v>
      </c>
      <c r="C119" t="inlineStr">
        <is>
          <t>EUR_Operating</t>
        </is>
      </c>
      <c r="D119" t="inlineStr">
        <is>
          <t>EUR</t>
        </is>
      </c>
      <c r="E119" t="inlineStr">
        <is>
          <t>credit</t>
        </is>
      </c>
      <c r="F119" t="n">
        <v>1376.19</v>
      </c>
      <c r="G119" t="inlineStr">
        <is>
          <t>Customer Payment</t>
        </is>
      </c>
      <c r="H119" t="inlineStr">
        <is>
          <t>Cust_B</t>
        </is>
      </c>
      <c r="I119" t="inlineStr">
        <is>
          <t>2024-03</t>
        </is>
      </c>
    </row>
    <row r="120">
      <c r="A120" t="n">
        <v>119</v>
      </c>
      <c r="B120" s="13" t="n">
        <v>45375</v>
      </c>
      <c r="C120" t="inlineStr">
        <is>
          <t>EUR_Operating</t>
        </is>
      </c>
      <c r="D120" t="inlineStr">
        <is>
          <t>EUR</t>
        </is>
      </c>
      <c r="E120" t="inlineStr">
        <is>
          <t>debit</t>
        </is>
      </c>
      <c r="F120" t="n">
        <v>5283.56</v>
      </c>
      <c r="G120" t="inlineStr">
        <is>
          <t>Supplier Payment</t>
        </is>
      </c>
      <c r="H120" t="inlineStr">
        <is>
          <t>Vend_C</t>
        </is>
      </c>
      <c r="I120" t="inlineStr">
        <is>
          <t>2024-03</t>
        </is>
      </c>
    </row>
    <row r="121">
      <c r="A121" t="n">
        <v>120</v>
      </c>
      <c r="B121" s="13" t="n">
        <v>45375</v>
      </c>
      <c r="C121" t="inlineStr">
        <is>
          <t>EUR_Operating</t>
        </is>
      </c>
      <c r="D121" t="inlineStr">
        <is>
          <t>EUR</t>
        </is>
      </c>
      <c r="E121" t="inlineStr">
        <is>
          <t>debit</t>
        </is>
      </c>
      <c r="F121" t="n">
        <v>7786.63</v>
      </c>
      <c r="G121" t="inlineStr">
        <is>
          <t>Supplier Payment</t>
        </is>
      </c>
      <c r="H121" t="inlineStr">
        <is>
          <t>Vend_B</t>
        </is>
      </c>
      <c r="I121" t="inlineStr">
        <is>
          <t>2024-03</t>
        </is>
      </c>
    </row>
    <row r="122">
      <c r="A122" t="n">
        <v>121</v>
      </c>
      <c r="B122" s="13" t="n">
        <v>45376</v>
      </c>
      <c r="C122" t="inlineStr">
        <is>
          <t>EUR_Operating</t>
        </is>
      </c>
      <c r="D122" t="inlineStr">
        <is>
          <t>EUR</t>
        </is>
      </c>
      <c r="E122" t="inlineStr">
        <is>
          <t>debit</t>
        </is>
      </c>
      <c r="F122" t="n">
        <v>9006.049999999999</v>
      </c>
      <c r="G122" t="inlineStr">
        <is>
          <t>Supplier Payment</t>
        </is>
      </c>
      <c r="H122" t="inlineStr">
        <is>
          <t>Vend_C</t>
        </is>
      </c>
      <c r="I122" t="inlineStr">
        <is>
          <t>2024-03</t>
        </is>
      </c>
    </row>
    <row r="123">
      <c r="A123" t="n">
        <v>122</v>
      </c>
      <c r="B123" s="13" t="n">
        <v>45376</v>
      </c>
      <c r="C123" t="inlineStr">
        <is>
          <t>USD_Sales</t>
        </is>
      </c>
      <c r="D123" t="inlineStr">
        <is>
          <t>USD</t>
        </is>
      </c>
      <c r="E123" t="inlineStr">
        <is>
          <t>debit</t>
        </is>
      </c>
      <c r="F123" t="n">
        <v>1320.69</v>
      </c>
      <c r="G123" t="inlineStr">
        <is>
          <t>Supplier Payment</t>
        </is>
      </c>
      <c r="H123" t="inlineStr">
        <is>
          <t>Vend_A</t>
        </is>
      </c>
      <c r="I123" t="inlineStr">
        <is>
          <t>2024-03</t>
        </is>
      </c>
    </row>
    <row r="124">
      <c r="A124" t="n">
        <v>123</v>
      </c>
      <c r="B124" s="13" t="n">
        <v>45376</v>
      </c>
      <c r="C124" t="inlineStr">
        <is>
          <t>EUR_Payroll</t>
        </is>
      </c>
      <c r="D124" t="inlineStr">
        <is>
          <t>EUR</t>
        </is>
      </c>
      <c r="E124" t="inlineStr">
        <is>
          <t>debit</t>
        </is>
      </c>
      <c r="F124" t="n">
        <v>123186.5</v>
      </c>
      <c r="G124" t="inlineStr">
        <is>
          <t>Payroll</t>
        </is>
      </c>
      <c r="H124" t="inlineStr">
        <is>
          <t>Payroll</t>
        </is>
      </c>
      <c r="I124" t="inlineStr">
        <is>
          <t>2024-03</t>
        </is>
      </c>
    </row>
    <row r="125">
      <c r="A125" t="n">
        <v>124</v>
      </c>
      <c r="B125" s="13" t="n">
        <v>45376</v>
      </c>
      <c r="C125" t="inlineStr">
        <is>
          <t>EUR_Operating</t>
        </is>
      </c>
      <c r="D125" t="inlineStr">
        <is>
          <t>EUR</t>
        </is>
      </c>
      <c r="E125" t="inlineStr">
        <is>
          <t>debit</t>
        </is>
      </c>
      <c r="F125" t="n">
        <v>123186.5</v>
      </c>
      <c r="G125" t="inlineStr">
        <is>
          <t>Transfer to Payroll</t>
        </is>
      </c>
      <c r="H125" t="inlineStr">
        <is>
          <t>Payroll</t>
        </is>
      </c>
      <c r="I125" t="inlineStr">
        <is>
          <t>2024-03</t>
        </is>
      </c>
    </row>
    <row r="126">
      <c r="A126" t="n">
        <v>125</v>
      </c>
      <c r="B126" s="13" t="n">
        <v>45377</v>
      </c>
      <c r="C126" t="inlineStr">
        <is>
          <t>EUR_Operating</t>
        </is>
      </c>
      <c r="D126" t="inlineStr">
        <is>
          <t>EUR</t>
        </is>
      </c>
      <c r="E126" t="inlineStr">
        <is>
          <t>credit</t>
        </is>
      </c>
      <c r="F126" t="n">
        <v>9728.379999999999</v>
      </c>
      <c r="G126" t="inlineStr">
        <is>
          <t>Customer Payment</t>
        </is>
      </c>
      <c r="H126" t="inlineStr">
        <is>
          <t>Cust_C</t>
        </is>
      </c>
      <c r="I126" t="inlineStr">
        <is>
          <t>2024-03</t>
        </is>
      </c>
    </row>
    <row r="127">
      <c r="A127" t="n">
        <v>126</v>
      </c>
      <c r="B127" s="13" t="n">
        <v>45377</v>
      </c>
      <c r="C127" t="inlineStr">
        <is>
          <t>EUR_Operating</t>
        </is>
      </c>
      <c r="D127" t="inlineStr">
        <is>
          <t>EUR</t>
        </is>
      </c>
      <c r="E127" t="inlineStr">
        <is>
          <t>debit</t>
        </is>
      </c>
      <c r="F127" t="n">
        <v>7341.38</v>
      </c>
      <c r="G127" t="inlineStr">
        <is>
          <t>Supplier Payment</t>
        </is>
      </c>
      <c r="H127" t="inlineStr">
        <is>
          <t>Vend_B</t>
        </is>
      </c>
      <c r="I127" t="inlineStr">
        <is>
          <t>2024-03</t>
        </is>
      </c>
    </row>
    <row r="128">
      <c r="A128" t="n">
        <v>127</v>
      </c>
      <c r="B128" s="13" t="n">
        <v>45378</v>
      </c>
      <c r="C128" t="inlineStr">
        <is>
          <t>EUR_Operating</t>
        </is>
      </c>
      <c r="D128" t="inlineStr">
        <is>
          <t>EUR</t>
        </is>
      </c>
      <c r="E128" t="inlineStr">
        <is>
          <t>credit</t>
        </is>
      </c>
      <c r="F128" t="n">
        <v>18736.37</v>
      </c>
      <c r="G128" t="inlineStr">
        <is>
          <t>Customer Payment</t>
        </is>
      </c>
      <c r="H128" t="inlineStr">
        <is>
          <t>Cust_D</t>
        </is>
      </c>
      <c r="I128" t="inlineStr">
        <is>
          <t>2024-03</t>
        </is>
      </c>
    </row>
    <row r="129">
      <c r="A129" t="n">
        <v>128</v>
      </c>
      <c r="B129" s="13" t="n">
        <v>45378</v>
      </c>
      <c r="C129" t="inlineStr">
        <is>
          <t>EUR_Operating</t>
        </is>
      </c>
      <c r="D129" t="inlineStr">
        <is>
          <t>EUR</t>
        </is>
      </c>
      <c r="E129" t="inlineStr">
        <is>
          <t>credit</t>
        </is>
      </c>
      <c r="F129" t="n">
        <v>11704.15</v>
      </c>
      <c r="G129" t="inlineStr">
        <is>
          <t>Customer Payment</t>
        </is>
      </c>
      <c r="H129" t="inlineStr">
        <is>
          <t>Cust_C</t>
        </is>
      </c>
      <c r="I129" t="inlineStr">
        <is>
          <t>2024-03</t>
        </is>
      </c>
    </row>
    <row r="130">
      <c r="A130" t="n">
        <v>129</v>
      </c>
      <c r="B130" s="13" t="n">
        <v>45378</v>
      </c>
      <c r="C130" t="inlineStr">
        <is>
          <t>EUR_Operating</t>
        </is>
      </c>
      <c r="D130" t="inlineStr">
        <is>
          <t>EUR</t>
        </is>
      </c>
      <c r="E130" t="inlineStr">
        <is>
          <t>debit</t>
        </is>
      </c>
      <c r="F130" t="n">
        <v>1473.73</v>
      </c>
      <c r="G130" t="inlineStr">
        <is>
          <t>Supplier Payment</t>
        </is>
      </c>
      <c r="H130" t="inlineStr">
        <is>
          <t>Vend_B</t>
        </is>
      </c>
      <c r="I130" t="inlineStr">
        <is>
          <t>2024-03</t>
        </is>
      </c>
    </row>
    <row r="131">
      <c r="A131" t="n">
        <v>130</v>
      </c>
      <c r="B131" s="13" t="n">
        <v>45378</v>
      </c>
      <c r="C131" t="inlineStr">
        <is>
          <t>EUR_Operating</t>
        </is>
      </c>
      <c r="D131" t="inlineStr">
        <is>
          <t>EUR</t>
        </is>
      </c>
      <c r="E131" t="inlineStr">
        <is>
          <t>debit</t>
        </is>
      </c>
      <c r="F131" t="n">
        <v>500.57</v>
      </c>
      <c r="G131" t="inlineStr">
        <is>
          <t>Supplier Payment</t>
        </is>
      </c>
      <c r="H131" t="inlineStr">
        <is>
          <t>Vend_C</t>
        </is>
      </c>
      <c r="I131" t="inlineStr">
        <is>
          <t>2024-03</t>
        </is>
      </c>
    </row>
    <row r="132">
      <c r="A132" t="n">
        <v>131</v>
      </c>
      <c r="B132" s="13" t="n">
        <v>45380</v>
      </c>
      <c r="C132" t="inlineStr">
        <is>
          <t>EUR_Operating</t>
        </is>
      </c>
      <c r="D132" t="inlineStr">
        <is>
          <t>EUR</t>
        </is>
      </c>
      <c r="E132" t="inlineStr">
        <is>
          <t>credit</t>
        </is>
      </c>
      <c r="F132" t="n">
        <v>1613.72</v>
      </c>
      <c r="G132" t="inlineStr">
        <is>
          <t>Customer Payment</t>
        </is>
      </c>
      <c r="H132" t="inlineStr">
        <is>
          <t>Cust_C</t>
        </is>
      </c>
      <c r="I132" t="inlineStr">
        <is>
          <t>2024-03</t>
        </is>
      </c>
    </row>
    <row r="133">
      <c r="A133" t="n">
        <v>132</v>
      </c>
      <c r="B133" s="13" t="n">
        <v>45380</v>
      </c>
      <c r="C133" t="inlineStr">
        <is>
          <t>EUR_Operating</t>
        </is>
      </c>
      <c r="D133" t="inlineStr">
        <is>
          <t>EUR</t>
        </is>
      </c>
      <c r="E133" t="inlineStr">
        <is>
          <t>debit</t>
        </is>
      </c>
      <c r="F133" t="n">
        <v>1747.07</v>
      </c>
      <c r="G133" t="inlineStr">
        <is>
          <t>Supplier Payment</t>
        </is>
      </c>
      <c r="H133" t="inlineStr">
        <is>
          <t>Vend_A</t>
        </is>
      </c>
      <c r="I133" t="inlineStr">
        <is>
          <t>2024-03</t>
        </is>
      </c>
    </row>
    <row r="134">
      <c r="A134" t="n">
        <v>133</v>
      </c>
      <c r="B134" s="13" t="n">
        <v>45380</v>
      </c>
      <c r="C134" t="inlineStr">
        <is>
          <t>EUR_Operating</t>
        </is>
      </c>
      <c r="D134" t="inlineStr">
        <is>
          <t>EUR</t>
        </is>
      </c>
      <c r="E134" t="inlineStr">
        <is>
          <t>debit</t>
        </is>
      </c>
      <c r="F134" t="n">
        <v>979.03</v>
      </c>
      <c r="G134" t="inlineStr">
        <is>
          <t>Supplier Payment</t>
        </is>
      </c>
      <c r="H134" t="inlineStr">
        <is>
          <t>Vend_A</t>
        </is>
      </c>
      <c r="I134" t="inlineStr">
        <is>
          <t>2024-03</t>
        </is>
      </c>
    </row>
    <row r="135">
      <c r="A135" t="n">
        <v>134</v>
      </c>
      <c r="B135" s="13" t="n">
        <v>45380</v>
      </c>
      <c r="C135" t="inlineStr">
        <is>
          <t>JPY_Sales</t>
        </is>
      </c>
      <c r="D135" t="inlineStr">
        <is>
          <t>JPY</t>
        </is>
      </c>
      <c r="E135" t="inlineStr">
        <is>
          <t>debit</t>
        </is>
      </c>
      <c r="F135" t="n">
        <v>5473.64</v>
      </c>
      <c r="G135" t="inlineStr">
        <is>
          <t>Supplier Payment</t>
        </is>
      </c>
      <c r="H135" t="inlineStr">
        <is>
          <t>Vend_B</t>
        </is>
      </c>
      <c r="I135" t="inlineStr">
        <is>
          <t>2024-03</t>
        </is>
      </c>
    </row>
    <row r="136">
      <c r="A136" t="n">
        <v>135</v>
      </c>
      <c r="B136" s="13" t="n">
        <v>45381</v>
      </c>
      <c r="C136" t="inlineStr">
        <is>
          <t>EUR_Operating</t>
        </is>
      </c>
      <c r="D136" t="inlineStr">
        <is>
          <t>EUR</t>
        </is>
      </c>
      <c r="E136" t="inlineStr">
        <is>
          <t>credit</t>
        </is>
      </c>
      <c r="F136" t="n">
        <v>7796.3</v>
      </c>
      <c r="G136" t="inlineStr">
        <is>
          <t>Customer Payment</t>
        </is>
      </c>
      <c r="H136" t="inlineStr">
        <is>
          <t>Cust_C</t>
        </is>
      </c>
      <c r="I136" t="inlineStr">
        <is>
          <t>2024-03</t>
        </is>
      </c>
    </row>
    <row r="137">
      <c r="A137" t="n">
        <v>136</v>
      </c>
      <c r="B137" s="13" t="n">
        <v>45381</v>
      </c>
      <c r="C137" t="inlineStr">
        <is>
          <t>EUR_Operating</t>
        </is>
      </c>
      <c r="D137" t="inlineStr">
        <is>
          <t>EUR</t>
        </is>
      </c>
      <c r="E137" t="inlineStr">
        <is>
          <t>debit</t>
        </is>
      </c>
      <c r="F137" t="n">
        <v>8067.61</v>
      </c>
      <c r="G137" t="inlineStr">
        <is>
          <t>Supplier Payment</t>
        </is>
      </c>
      <c r="H137" t="inlineStr">
        <is>
          <t>Vend_B</t>
        </is>
      </c>
      <c r="I137" t="inlineStr">
        <is>
          <t>2024-03</t>
        </is>
      </c>
    </row>
    <row r="138">
      <c r="A138" t="n">
        <v>137</v>
      </c>
      <c r="B138" s="13" t="n">
        <v>45382</v>
      </c>
      <c r="C138" t="inlineStr">
        <is>
          <t>EUR_Operating</t>
        </is>
      </c>
      <c r="D138" t="inlineStr">
        <is>
          <t>EUR</t>
        </is>
      </c>
      <c r="E138" t="inlineStr">
        <is>
          <t>debit</t>
        </is>
      </c>
      <c r="F138" t="n">
        <v>13.83</v>
      </c>
      <c r="G138" t="inlineStr">
        <is>
          <t>Bank Fee</t>
        </is>
      </c>
      <c r="H138" t="inlineStr">
        <is>
          <t>Bank</t>
        </is>
      </c>
      <c r="I138" t="inlineStr">
        <is>
          <t>2024-03</t>
        </is>
      </c>
    </row>
    <row r="139">
      <c r="A139" t="n">
        <v>138</v>
      </c>
      <c r="B139" s="13" t="n">
        <v>45383</v>
      </c>
      <c r="C139" t="inlineStr">
        <is>
          <t>EUR_Operating</t>
        </is>
      </c>
      <c r="D139" t="inlineStr">
        <is>
          <t>EUR</t>
        </is>
      </c>
      <c r="E139" t="inlineStr">
        <is>
          <t>credit</t>
        </is>
      </c>
      <c r="F139" t="n">
        <v>8666.360000000001</v>
      </c>
      <c r="G139" t="inlineStr">
        <is>
          <t>Customer Payment</t>
        </is>
      </c>
      <c r="H139" t="inlineStr">
        <is>
          <t>Cust_B</t>
        </is>
      </c>
      <c r="I139" t="inlineStr">
        <is>
          <t>2024-04</t>
        </is>
      </c>
    </row>
    <row r="140">
      <c r="A140" t="n">
        <v>139</v>
      </c>
      <c r="B140" s="13" t="n">
        <v>45383</v>
      </c>
      <c r="C140" t="inlineStr">
        <is>
          <t>EUR_Operating</t>
        </is>
      </c>
      <c r="D140" t="inlineStr">
        <is>
          <t>EUR</t>
        </is>
      </c>
      <c r="E140" t="inlineStr">
        <is>
          <t>credit</t>
        </is>
      </c>
      <c r="F140" t="n">
        <v>2820.41</v>
      </c>
      <c r="G140" t="inlineStr">
        <is>
          <t>Customer Payment</t>
        </is>
      </c>
      <c r="H140" t="inlineStr">
        <is>
          <t>Cust_C</t>
        </is>
      </c>
      <c r="I140" t="inlineStr">
        <is>
          <t>2024-04</t>
        </is>
      </c>
    </row>
    <row r="141">
      <c r="A141" t="n">
        <v>140</v>
      </c>
      <c r="B141" s="13" t="n">
        <v>45383</v>
      </c>
      <c r="C141" t="inlineStr">
        <is>
          <t>JPY_Sales</t>
        </is>
      </c>
      <c r="D141" t="inlineStr">
        <is>
          <t>JPY</t>
        </is>
      </c>
      <c r="E141" t="inlineStr">
        <is>
          <t>credit</t>
        </is>
      </c>
      <c r="F141" t="n">
        <v>1163689</v>
      </c>
      <c r="G141" t="inlineStr">
        <is>
          <t>Customer Payment</t>
        </is>
      </c>
      <c r="H141" t="inlineStr">
        <is>
          <t>Cust_A</t>
        </is>
      </c>
      <c r="I141" t="inlineStr">
        <is>
          <t>2024-04</t>
        </is>
      </c>
    </row>
    <row r="142">
      <c r="A142" t="n">
        <v>141</v>
      </c>
      <c r="B142" s="13" t="n">
        <v>45383</v>
      </c>
      <c r="C142" t="inlineStr">
        <is>
          <t>EUR_Operating</t>
        </is>
      </c>
      <c r="D142" t="inlineStr">
        <is>
          <t>EUR</t>
        </is>
      </c>
      <c r="E142" t="inlineStr">
        <is>
          <t>debit</t>
        </is>
      </c>
      <c r="F142" t="n">
        <v>30710</v>
      </c>
      <c r="G142" t="inlineStr">
        <is>
          <t>Loan Interest</t>
        </is>
      </c>
      <c r="H142" t="inlineStr">
        <is>
          <t>Bank Loan</t>
        </is>
      </c>
      <c r="I142" t="inlineStr">
        <is>
          <t>2024-04</t>
        </is>
      </c>
    </row>
    <row r="143">
      <c r="A143" t="n">
        <v>142</v>
      </c>
      <c r="B143" s="13" t="n">
        <v>45383</v>
      </c>
      <c r="C143" t="inlineStr">
        <is>
          <t>EUR_Operating</t>
        </is>
      </c>
      <c r="D143" t="inlineStr">
        <is>
          <t>EUR</t>
        </is>
      </c>
      <c r="E143" t="inlineStr">
        <is>
          <t>debit</t>
        </is>
      </c>
      <c r="F143" t="n">
        <v>149.97</v>
      </c>
      <c r="G143" t="inlineStr">
        <is>
          <t>Bank Fee</t>
        </is>
      </c>
      <c r="H143" t="inlineStr">
        <is>
          <t>Bank</t>
        </is>
      </c>
      <c r="I143" t="inlineStr">
        <is>
          <t>2024-04</t>
        </is>
      </c>
    </row>
    <row r="144">
      <c r="A144" t="n">
        <v>143</v>
      </c>
      <c r="B144" s="13" t="n">
        <v>45384</v>
      </c>
      <c r="C144" t="inlineStr">
        <is>
          <t>EUR_Operating</t>
        </is>
      </c>
      <c r="D144" t="inlineStr">
        <is>
          <t>EUR</t>
        </is>
      </c>
      <c r="E144" t="inlineStr">
        <is>
          <t>credit</t>
        </is>
      </c>
      <c r="F144" t="n">
        <v>8420.93</v>
      </c>
      <c r="G144" t="inlineStr">
        <is>
          <t>Customer Payment</t>
        </is>
      </c>
      <c r="H144" t="inlineStr">
        <is>
          <t>Cust_B</t>
        </is>
      </c>
      <c r="I144" t="inlineStr">
        <is>
          <t>2024-04</t>
        </is>
      </c>
    </row>
    <row r="145">
      <c r="A145" t="n">
        <v>144</v>
      </c>
      <c r="B145" s="13" t="n">
        <v>45384</v>
      </c>
      <c r="C145" t="inlineStr">
        <is>
          <t>USD_Sales</t>
        </is>
      </c>
      <c r="D145" t="inlineStr">
        <is>
          <t>USD</t>
        </is>
      </c>
      <c r="E145" t="inlineStr">
        <is>
          <t>credit</t>
        </is>
      </c>
      <c r="F145" t="n">
        <v>14216.22</v>
      </c>
      <c r="G145" t="inlineStr">
        <is>
          <t>Customer Payment</t>
        </is>
      </c>
      <c r="H145" t="inlineStr">
        <is>
          <t>Cust_C</t>
        </is>
      </c>
      <c r="I145" t="inlineStr">
        <is>
          <t>2024-04</t>
        </is>
      </c>
    </row>
    <row r="146">
      <c r="A146" t="n">
        <v>145</v>
      </c>
      <c r="B146" s="13" t="n">
        <v>45384</v>
      </c>
      <c r="C146" t="inlineStr">
        <is>
          <t>EUR_Operating</t>
        </is>
      </c>
      <c r="D146" t="inlineStr">
        <is>
          <t>EUR</t>
        </is>
      </c>
      <c r="E146" t="inlineStr">
        <is>
          <t>debit</t>
        </is>
      </c>
      <c r="F146" t="n">
        <v>7786.63</v>
      </c>
      <c r="G146" t="inlineStr">
        <is>
          <t>Supplier Payment</t>
        </is>
      </c>
      <c r="H146" t="inlineStr">
        <is>
          <t>Vend_B</t>
        </is>
      </c>
      <c r="I146" t="inlineStr">
        <is>
          <t>2024-04</t>
        </is>
      </c>
    </row>
    <row r="147">
      <c r="A147" t="n">
        <v>146</v>
      </c>
      <c r="B147" s="13" t="n">
        <v>45385</v>
      </c>
      <c r="C147" t="inlineStr">
        <is>
          <t>EUR_Operating</t>
        </is>
      </c>
      <c r="D147" t="inlineStr">
        <is>
          <t>EUR</t>
        </is>
      </c>
      <c r="E147" t="inlineStr">
        <is>
          <t>credit</t>
        </is>
      </c>
      <c r="F147" t="n">
        <v>11576.54</v>
      </c>
      <c r="G147" t="inlineStr">
        <is>
          <t>Customer Payment</t>
        </is>
      </c>
      <c r="H147" t="inlineStr">
        <is>
          <t>Cust_D</t>
        </is>
      </c>
      <c r="I147" t="inlineStr">
        <is>
          <t>2024-04</t>
        </is>
      </c>
    </row>
    <row r="148">
      <c r="A148" t="n">
        <v>147</v>
      </c>
      <c r="B148" s="13" t="n">
        <v>45385</v>
      </c>
      <c r="C148" t="inlineStr">
        <is>
          <t>EUR_Operating</t>
        </is>
      </c>
      <c r="D148" t="inlineStr">
        <is>
          <t>EUR</t>
        </is>
      </c>
      <c r="E148" t="inlineStr">
        <is>
          <t>debit</t>
        </is>
      </c>
      <c r="F148" t="n">
        <v>12005.27</v>
      </c>
      <c r="G148" t="inlineStr">
        <is>
          <t>Supplier Payment</t>
        </is>
      </c>
      <c r="H148" t="inlineStr">
        <is>
          <t>Vend_A</t>
        </is>
      </c>
      <c r="I148" t="inlineStr">
        <is>
          <t>2024-04</t>
        </is>
      </c>
    </row>
    <row r="149">
      <c r="A149" t="n">
        <v>148</v>
      </c>
      <c r="B149" s="13" t="n">
        <v>45386</v>
      </c>
      <c r="C149" t="inlineStr">
        <is>
          <t>EUR_Operating</t>
        </is>
      </c>
      <c r="D149" t="inlineStr">
        <is>
          <t>EUR</t>
        </is>
      </c>
      <c r="E149" t="inlineStr">
        <is>
          <t>credit</t>
        </is>
      </c>
      <c r="F149" t="n">
        <v>6955.12</v>
      </c>
      <c r="G149" t="inlineStr">
        <is>
          <t>Customer Payment</t>
        </is>
      </c>
      <c r="H149" t="inlineStr">
        <is>
          <t>Cust_C</t>
        </is>
      </c>
      <c r="I149" t="inlineStr">
        <is>
          <t>2024-04</t>
        </is>
      </c>
    </row>
    <row r="150">
      <c r="A150" t="n">
        <v>149</v>
      </c>
      <c r="B150" s="13" t="n">
        <v>45387</v>
      </c>
      <c r="C150" t="inlineStr">
        <is>
          <t>EUR_Operating</t>
        </is>
      </c>
      <c r="D150" t="inlineStr">
        <is>
          <t>EUR</t>
        </is>
      </c>
      <c r="E150" t="inlineStr">
        <is>
          <t>credit</t>
        </is>
      </c>
      <c r="F150" t="n">
        <v>8853.950000000001</v>
      </c>
      <c r="G150" t="inlineStr">
        <is>
          <t>Customer Payment</t>
        </is>
      </c>
      <c r="H150" t="inlineStr">
        <is>
          <t>Cust_C</t>
        </is>
      </c>
      <c r="I150" t="inlineStr">
        <is>
          <t>2024-04</t>
        </is>
      </c>
    </row>
    <row r="151">
      <c r="A151" t="n">
        <v>150</v>
      </c>
      <c r="B151" s="13" t="n">
        <v>45387</v>
      </c>
      <c r="C151" t="inlineStr">
        <is>
          <t>EUR_Operating</t>
        </is>
      </c>
      <c r="D151" t="inlineStr">
        <is>
          <t>EUR</t>
        </is>
      </c>
      <c r="E151" t="inlineStr">
        <is>
          <t>debit</t>
        </is>
      </c>
      <c r="F151" t="n">
        <v>5925.28</v>
      </c>
      <c r="G151" t="inlineStr">
        <is>
          <t>Supplier Payment</t>
        </is>
      </c>
      <c r="H151" t="inlineStr">
        <is>
          <t>Vend_B</t>
        </is>
      </c>
      <c r="I151" t="inlineStr">
        <is>
          <t>2024-04</t>
        </is>
      </c>
    </row>
    <row r="152">
      <c r="A152" t="n">
        <v>151</v>
      </c>
      <c r="B152" s="13" t="n">
        <v>45388</v>
      </c>
      <c r="C152" t="inlineStr">
        <is>
          <t>USD_Sales</t>
        </is>
      </c>
      <c r="D152" t="inlineStr">
        <is>
          <t>USD</t>
        </is>
      </c>
      <c r="E152" t="inlineStr">
        <is>
          <t>debit</t>
        </is>
      </c>
      <c r="F152" t="n">
        <v>14696.47</v>
      </c>
      <c r="G152" t="inlineStr">
        <is>
          <t>Supplier Payment</t>
        </is>
      </c>
      <c r="H152" t="inlineStr">
        <is>
          <t>Vend_B</t>
        </is>
      </c>
      <c r="I152" t="inlineStr">
        <is>
          <t>2024-04</t>
        </is>
      </c>
    </row>
    <row r="153">
      <c r="A153" t="n">
        <v>152</v>
      </c>
      <c r="B153" s="13" t="n">
        <v>45388</v>
      </c>
      <c r="C153" t="inlineStr">
        <is>
          <t>EUR_Operating</t>
        </is>
      </c>
      <c r="D153" t="inlineStr">
        <is>
          <t>EUR</t>
        </is>
      </c>
      <c r="E153" t="inlineStr">
        <is>
          <t>debit</t>
        </is>
      </c>
      <c r="F153" t="n">
        <v>5734.36</v>
      </c>
      <c r="G153" t="inlineStr">
        <is>
          <t>Supplier Payment</t>
        </is>
      </c>
      <c r="H153" t="inlineStr">
        <is>
          <t>Vend_B</t>
        </is>
      </c>
      <c r="I153" t="inlineStr">
        <is>
          <t>2024-04</t>
        </is>
      </c>
    </row>
    <row r="154">
      <c r="A154" t="n">
        <v>153</v>
      </c>
      <c r="B154" s="13" t="n">
        <v>45388</v>
      </c>
      <c r="C154" t="inlineStr">
        <is>
          <t>EUR_Operating</t>
        </is>
      </c>
      <c r="D154" t="inlineStr">
        <is>
          <t>EUR</t>
        </is>
      </c>
      <c r="E154" t="inlineStr">
        <is>
          <t>debit</t>
        </is>
      </c>
      <c r="F154" t="n">
        <v>9611.65</v>
      </c>
      <c r="G154" t="inlineStr">
        <is>
          <t>Supplier Payment</t>
        </is>
      </c>
      <c r="H154" t="inlineStr">
        <is>
          <t>Vend_C</t>
        </is>
      </c>
      <c r="I154" t="inlineStr">
        <is>
          <t>2024-04</t>
        </is>
      </c>
    </row>
    <row r="155">
      <c r="A155" t="n">
        <v>154</v>
      </c>
      <c r="B155" s="13" t="n">
        <v>45389</v>
      </c>
      <c r="C155" t="inlineStr">
        <is>
          <t>EUR_Operating</t>
        </is>
      </c>
      <c r="D155" t="inlineStr">
        <is>
          <t>EUR</t>
        </is>
      </c>
      <c r="E155" t="inlineStr">
        <is>
          <t>credit</t>
        </is>
      </c>
      <c r="F155" t="n">
        <v>4556.83</v>
      </c>
      <c r="G155" t="inlineStr">
        <is>
          <t>Customer Payment</t>
        </is>
      </c>
      <c r="H155" t="inlineStr">
        <is>
          <t>Cust_D</t>
        </is>
      </c>
      <c r="I155" t="inlineStr">
        <is>
          <t>2024-04</t>
        </is>
      </c>
    </row>
    <row r="156">
      <c r="A156" t="n">
        <v>155</v>
      </c>
      <c r="B156" s="13" t="n">
        <v>45389</v>
      </c>
      <c r="C156" t="inlineStr">
        <is>
          <t>EUR_Operating</t>
        </is>
      </c>
      <c r="D156" t="inlineStr">
        <is>
          <t>EUR</t>
        </is>
      </c>
      <c r="E156" t="inlineStr">
        <is>
          <t>credit</t>
        </is>
      </c>
      <c r="F156" t="n">
        <v>3199.24</v>
      </c>
      <c r="G156" t="inlineStr">
        <is>
          <t>Customer Payment</t>
        </is>
      </c>
      <c r="H156" t="inlineStr">
        <is>
          <t>Cust_D</t>
        </is>
      </c>
      <c r="I156" t="inlineStr">
        <is>
          <t>2024-04</t>
        </is>
      </c>
    </row>
    <row r="157">
      <c r="A157" t="n">
        <v>156</v>
      </c>
      <c r="B157" s="13" t="n">
        <v>45389</v>
      </c>
      <c r="C157" t="inlineStr">
        <is>
          <t>EUR_Operating</t>
        </is>
      </c>
      <c r="D157" t="inlineStr">
        <is>
          <t>EUR</t>
        </is>
      </c>
      <c r="E157" t="inlineStr">
        <is>
          <t>credit</t>
        </is>
      </c>
      <c r="F157" t="n">
        <v>8571.6</v>
      </c>
      <c r="G157" t="inlineStr">
        <is>
          <t>Customer Payment</t>
        </is>
      </c>
      <c r="H157" t="inlineStr">
        <is>
          <t>Cust_D</t>
        </is>
      </c>
      <c r="I157" t="inlineStr">
        <is>
          <t>2024-04</t>
        </is>
      </c>
    </row>
    <row r="158">
      <c r="A158" t="n">
        <v>157</v>
      </c>
      <c r="B158" s="13" t="n">
        <v>45389</v>
      </c>
      <c r="C158" t="inlineStr">
        <is>
          <t>EUR_Operating</t>
        </is>
      </c>
      <c r="D158" t="inlineStr">
        <is>
          <t>EUR</t>
        </is>
      </c>
      <c r="E158" t="inlineStr">
        <is>
          <t>debit</t>
        </is>
      </c>
      <c r="F158" t="n">
        <v>9397.1</v>
      </c>
      <c r="G158" t="inlineStr">
        <is>
          <t>Supplier Payment</t>
        </is>
      </c>
      <c r="H158" t="inlineStr">
        <is>
          <t>Vend_C</t>
        </is>
      </c>
      <c r="I158" t="inlineStr">
        <is>
          <t>2024-04</t>
        </is>
      </c>
    </row>
    <row r="159">
      <c r="A159" t="n">
        <v>158</v>
      </c>
      <c r="B159" s="13" t="n">
        <v>45391</v>
      </c>
      <c r="C159" t="inlineStr">
        <is>
          <t>USD_Sales</t>
        </is>
      </c>
      <c r="D159" t="inlineStr">
        <is>
          <t>USD</t>
        </is>
      </c>
      <c r="E159" t="inlineStr">
        <is>
          <t>credit</t>
        </is>
      </c>
      <c r="F159" t="n">
        <v>2882.59</v>
      </c>
      <c r="G159" t="inlineStr">
        <is>
          <t>Customer Payment</t>
        </is>
      </c>
      <c r="H159" t="inlineStr">
        <is>
          <t>Cust_A</t>
        </is>
      </c>
      <c r="I159" t="inlineStr">
        <is>
          <t>2024-04</t>
        </is>
      </c>
    </row>
    <row r="160">
      <c r="A160" t="n">
        <v>159</v>
      </c>
      <c r="B160" s="13" t="n">
        <v>45391</v>
      </c>
      <c r="C160" t="inlineStr">
        <is>
          <t>EUR_Operating</t>
        </is>
      </c>
      <c r="D160" t="inlineStr">
        <is>
          <t>EUR</t>
        </is>
      </c>
      <c r="E160" t="inlineStr">
        <is>
          <t>credit</t>
        </is>
      </c>
      <c r="F160" t="n">
        <v>10599.82</v>
      </c>
      <c r="G160" t="inlineStr">
        <is>
          <t>Customer Payment</t>
        </is>
      </c>
      <c r="H160" t="inlineStr">
        <is>
          <t>Cust_A</t>
        </is>
      </c>
      <c r="I160" t="inlineStr">
        <is>
          <t>2024-04</t>
        </is>
      </c>
    </row>
    <row r="161">
      <c r="A161" t="n">
        <v>160</v>
      </c>
      <c r="B161" s="13" t="n">
        <v>45391</v>
      </c>
      <c r="C161" t="inlineStr">
        <is>
          <t>EUR_Operating</t>
        </is>
      </c>
      <c r="D161" t="inlineStr">
        <is>
          <t>EUR</t>
        </is>
      </c>
      <c r="E161" t="inlineStr">
        <is>
          <t>debit</t>
        </is>
      </c>
      <c r="F161" t="n">
        <v>6910.56</v>
      </c>
      <c r="G161" t="inlineStr">
        <is>
          <t>Supplier Payment</t>
        </is>
      </c>
      <c r="H161" t="inlineStr">
        <is>
          <t>Vend_C</t>
        </is>
      </c>
      <c r="I161" t="inlineStr">
        <is>
          <t>2024-04</t>
        </is>
      </c>
    </row>
    <row r="162">
      <c r="A162" t="n">
        <v>161</v>
      </c>
      <c r="B162" s="13" t="n">
        <v>45391</v>
      </c>
      <c r="C162" t="inlineStr">
        <is>
          <t>EUR_Operating</t>
        </is>
      </c>
      <c r="D162" t="inlineStr">
        <is>
          <t>EUR</t>
        </is>
      </c>
      <c r="E162" t="inlineStr">
        <is>
          <t>debit</t>
        </is>
      </c>
      <c r="F162" t="n">
        <v>7933.26</v>
      </c>
      <c r="G162" t="inlineStr">
        <is>
          <t>Supplier Payment</t>
        </is>
      </c>
      <c r="H162" t="inlineStr">
        <is>
          <t>Vend_A</t>
        </is>
      </c>
      <c r="I162" t="inlineStr">
        <is>
          <t>2024-04</t>
        </is>
      </c>
    </row>
    <row r="163">
      <c r="A163" t="n">
        <v>162</v>
      </c>
      <c r="B163" s="13" t="n">
        <v>45392</v>
      </c>
      <c r="C163" t="inlineStr">
        <is>
          <t>EUR_Operating</t>
        </is>
      </c>
      <c r="D163" t="inlineStr">
        <is>
          <t>EUR</t>
        </is>
      </c>
      <c r="E163" t="inlineStr">
        <is>
          <t>debit</t>
        </is>
      </c>
      <c r="F163" t="n">
        <v>5097.74</v>
      </c>
      <c r="G163" t="inlineStr">
        <is>
          <t>Supplier Payment</t>
        </is>
      </c>
      <c r="H163" t="inlineStr">
        <is>
          <t>Vend_C</t>
        </is>
      </c>
      <c r="I163" t="inlineStr">
        <is>
          <t>2024-04</t>
        </is>
      </c>
    </row>
    <row r="164">
      <c r="A164" t="n">
        <v>163</v>
      </c>
      <c r="B164" s="13" t="n">
        <v>45393</v>
      </c>
      <c r="C164" t="inlineStr">
        <is>
          <t>EUR_Operating</t>
        </is>
      </c>
      <c r="D164" t="inlineStr">
        <is>
          <t>EUR</t>
        </is>
      </c>
      <c r="E164" t="inlineStr">
        <is>
          <t>credit</t>
        </is>
      </c>
      <c r="F164" t="n">
        <v>10155.54</v>
      </c>
      <c r="G164" t="inlineStr">
        <is>
          <t>Customer Payment</t>
        </is>
      </c>
      <c r="H164" t="inlineStr">
        <is>
          <t>Cust_D</t>
        </is>
      </c>
      <c r="I164" t="inlineStr">
        <is>
          <t>2024-04</t>
        </is>
      </c>
    </row>
    <row r="165">
      <c r="A165" t="n">
        <v>164</v>
      </c>
      <c r="B165" s="13" t="n">
        <v>45393</v>
      </c>
      <c r="C165" t="inlineStr">
        <is>
          <t>EUR_Operating</t>
        </is>
      </c>
      <c r="D165" t="inlineStr">
        <is>
          <t>EUR</t>
        </is>
      </c>
      <c r="E165" t="inlineStr">
        <is>
          <t>debit</t>
        </is>
      </c>
      <c r="F165" t="n">
        <v>6317.96</v>
      </c>
      <c r="G165" t="inlineStr">
        <is>
          <t>Supplier Payment</t>
        </is>
      </c>
      <c r="H165" t="inlineStr">
        <is>
          <t>Vend_C</t>
        </is>
      </c>
      <c r="I165" t="inlineStr">
        <is>
          <t>2024-04</t>
        </is>
      </c>
    </row>
    <row r="166">
      <c r="A166" t="n">
        <v>165</v>
      </c>
      <c r="B166" s="13" t="n">
        <v>45394</v>
      </c>
      <c r="C166" t="inlineStr">
        <is>
          <t>EUR_Operating</t>
        </is>
      </c>
      <c r="D166" t="inlineStr">
        <is>
          <t>EUR</t>
        </is>
      </c>
      <c r="E166" t="inlineStr">
        <is>
          <t>credit</t>
        </is>
      </c>
      <c r="F166" t="n">
        <v>8340.35</v>
      </c>
      <c r="G166" t="inlineStr">
        <is>
          <t>Customer Payment</t>
        </is>
      </c>
      <c r="H166" t="inlineStr">
        <is>
          <t>Cust_D</t>
        </is>
      </c>
      <c r="I166" t="inlineStr">
        <is>
          <t>2024-04</t>
        </is>
      </c>
    </row>
    <row r="167">
      <c r="A167" t="n">
        <v>166</v>
      </c>
      <c r="B167" s="13" t="n">
        <v>45395</v>
      </c>
      <c r="C167" t="inlineStr">
        <is>
          <t>EUR_Operating</t>
        </is>
      </c>
      <c r="D167" t="inlineStr">
        <is>
          <t>EUR</t>
        </is>
      </c>
      <c r="E167" t="inlineStr">
        <is>
          <t>credit</t>
        </is>
      </c>
      <c r="F167" t="n">
        <v>13980.95</v>
      </c>
      <c r="G167" t="inlineStr">
        <is>
          <t>Customer Payment</t>
        </is>
      </c>
      <c r="H167" t="inlineStr">
        <is>
          <t>Cust_A</t>
        </is>
      </c>
      <c r="I167" t="inlineStr">
        <is>
          <t>2024-04</t>
        </is>
      </c>
    </row>
    <row r="168">
      <c r="A168" t="n">
        <v>167</v>
      </c>
      <c r="B168" s="13" t="n">
        <v>45395</v>
      </c>
      <c r="C168" t="inlineStr">
        <is>
          <t>EUR_Operating</t>
        </is>
      </c>
      <c r="D168" t="inlineStr">
        <is>
          <t>EUR</t>
        </is>
      </c>
      <c r="E168" t="inlineStr">
        <is>
          <t>credit</t>
        </is>
      </c>
      <c r="F168" t="n">
        <v>3486.3</v>
      </c>
      <c r="G168" t="inlineStr">
        <is>
          <t>Customer Payment</t>
        </is>
      </c>
      <c r="H168" t="inlineStr">
        <is>
          <t>Cust_B</t>
        </is>
      </c>
      <c r="I168" t="inlineStr">
        <is>
          <t>2024-04</t>
        </is>
      </c>
    </row>
    <row r="169">
      <c r="A169" t="n">
        <v>168</v>
      </c>
      <c r="B169" s="13" t="n">
        <v>45395</v>
      </c>
      <c r="C169" t="inlineStr">
        <is>
          <t>EUR_Operating</t>
        </is>
      </c>
      <c r="D169" t="inlineStr">
        <is>
          <t>EUR</t>
        </is>
      </c>
      <c r="E169" t="inlineStr">
        <is>
          <t>debit</t>
        </is>
      </c>
      <c r="F169" t="n">
        <v>7454.7</v>
      </c>
      <c r="G169" t="inlineStr">
        <is>
          <t>Supplier Payment</t>
        </is>
      </c>
      <c r="H169" t="inlineStr">
        <is>
          <t>Vend_A</t>
        </is>
      </c>
      <c r="I169" t="inlineStr">
        <is>
          <t>2024-04</t>
        </is>
      </c>
    </row>
    <row r="170">
      <c r="A170" t="n">
        <v>169</v>
      </c>
      <c r="B170" s="13" t="n">
        <v>45396</v>
      </c>
      <c r="C170" t="inlineStr">
        <is>
          <t>EUR_Operating</t>
        </is>
      </c>
      <c r="D170" t="inlineStr">
        <is>
          <t>EUR</t>
        </is>
      </c>
      <c r="E170" t="inlineStr">
        <is>
          <t>credit</t>
        </is>
      </c>
      <c r="F170" t="n">
        <v>16533.2</v>
      </c>
      <c r="G170" t="inlineStr">
        <is>
          <t>Customer Payment</t>
        </is>
      </c>
      <c r="H170" t="inlineStr">
        <is>
          <t>Cust_D</t>
        </is>
      </c>
      <c r="I170" t="inlineStr">
        <is>
          <t>2024-04</t>
        </is>
      </c>
    </row>
    <row r="171">
      <c r="A171" t="n">
        <v>170</v>
      </c>
      <c r="B171" s="13" t="n">
        <v>45396</v>
      </c>
      <c r="C171" t="inlineStr">
        <is>
          <t>JPY_Sales</t>
        </is>
      </c>
      <c r="D171" t="inlineStr">
        <is>
          <t>JPY</t>
        </is>
      </c>
      <c r="E171" t="inlineStr">
        <is>
          <t>debit</t>
        </is>
      </c>
      <c r="F171" t="n">
        <v>6900.85</v>
      </c>
      <c r="G171" t="inlineStr">
        <is>
          <t>Supplier Payment</t>
        </is>
      </c>
      <c r="H171" t="inlineStr">
        <is>
          <t>Vend_C</t>
        </is>
      </c>
      <c r="I171" t="inlineStr">
        <is>
          <t>2024-04</t>
        </is>
      </c>
    </row>
    <row r="172">
      <c r="A172" t="n">
        <v>171</v>
      </c>
      <c r="B172" s="13" t="n">
        <v>45397</v>
      </c>
      <c r="C172" t="inlineStr">
        <is>
          <t>EUR_Operating</t>
        </is>
      </c>
      <c r="D172" t="inlineStr">
        <is>
          <t>EUR</t>
        </is>
      </c>
      <c r="E172" t="inlineStr">
        <is>
          <t>credit</t>
        </is>
      </c>
      <c r="F172" t="n">
        <v>9639.08</v>
      </c>
      <c r="G172" t="inlineStr">
        <is>
          <t>Customer Payment</t>
        </is>
      </c>
      <c r="H172" t="inlineStr">
        <is>
          <t>Cust_B</t>
        </is>
      </c>
      <c r="I172" t="inlineStr">
        <is>
          <t>2024-04</t>
        </is>
      </c>
    </row>
    <row r="173">
      <c r="A173" t="n">
        <v>172</v>
      </c>
      <c r="B173" s="13" t="n">
        <v>45397</v>
      </c>
      <c r="C173" t="inlineStr">
        <is>
          <t>EUR_Operating</t>
        </is>
      </c>
      <c r="D173" t="inlineStr">
        <is>
          <t>EUR</t>
        </is>
      </c>
      <c r="E173" t="inlineStr">
        <is>
          <t>debit</t>
        </is>
      </c>
      <c r="F173" t="n">
        <v>3397.77</v>
      </c>
      <c r="G173" t="inlineStr">
        <is>
          <t>Supplier Payment</t>
        </is>
      </c>
      <c r="H173" t="inlineStr">
        <is>
          <t>Vend_B</t>
        </is>
      </c>
      <c r="I173" t="inlineStr">
        <is>
          <t>2024-04</t>
        </is>
      </c>
    </row>
    <row r="174">
      <c r="A174" t="n">
        <v>173</v>
      </c>
      <c r="B174" s="13" t="n">
        <v>45398</v>
      </c>
      <c r="C174" t="inlineStr">
        <is>
          <t>EUR_Operating</t>
        </is>
      </c>
      <c r="D174" t="inlineStr">
        <is>
          <t>EUR</t>
        </is>
      </c>
      <c r="E174" t="inlineStr">
        <is>
          <t>credit</t>
        </is>
      </c>
      <c r="F174" t="n">
        <v>9055.16</v>
      </c>
      <c r="G174" t="inlineStr">
        <is>
          <t>Customer Payment</t>
        </is>
      </c>
      <c r="H174" t="inlineStr">
        <is>
          <t>Cust_C</t>
        </is>
      </c>
      <c r="I174" t="inlineStr">
        <is>
          <t>2024-04</t>
        </is>
      </c>
    </row>
    <row r="175">
      <c r="A175" t="n">
        <v>174</v>
      </c>
      <c r="B175" s="13" t="n">
        <v>45398</v>
      </c>
      <c r="C175" t="inlineStr">
        <is>
          <t>EUR_Operating</t>
        </is>
      </c>
      <c r="D175" t="inlineStr">
        <is>
          <t>EUR</t>
        </is>
      </c>
      <c r="E175" t="inlineStr">
        <is>
          <t>credit</t>
        </is>
      </c>
      <c r="F175" t="n">
        <v>13575.31</v>
      </c>
      <c r="G175" t="inlineStr">
        <is>
          <t>Customer Payment</t>
        </is>
      </c>
      <c r="H175" t="inlineStr">
        <is>
          <t>Cust_D</t>
        </is>
      </c>
      <c r="I175" t="inlineStr">
        <is>
          <t>2024-04</t>
        </is>
      </c>
    </row>
    <row r="176">
      <c r="A176" t="n">
        <v>175</v>
      </c>
      <c r="B176" s="13" t="n">
        <v>45398</v>
      </c>
      <c r="C176" t="inlineStr">
        <is>
          <t>EUR_Operating</t>
        </is>
      </c>
      <c r="D176" t="inlineStr">
        <is>
          <t>EUR</t>
        </is>
      </c>
      <c r="E176" t="inlineStr">
        <is>
          <t>credit</t>
        </is>
      </c>
      <c r="F176" t="n">
        <v>8574.360000000001</v>
      </c>
      <c r="G176" t="inlineStr">
        <is>
          <t>Customer Payment</t>
        </is>
      </c>
      <c r="H176" t="inlineStr">
        <is>
          <t>Cust_C</t>
        </is>
      </c>
      <c r="I176" t="inlineStr">
        <is>
          <t>2024-04</t>
        </is>
      </c>
    </row>
    <row r="177">
      <c r="A177" t="n">
        <v>176</v>
      </c>
      <c r="B177" s="13" t="n">
        <v>45398</v>
      </c>
      <c r="C177" t="inlineStr">
        <is>
          <t>EUR_Operating</t>
        </is>
      </c>
      <c r="D177" t="inlineStr">
        <is>
          <t>EUR</t>
        </is>
      </c>
      <c r="E177" t="inlineStr">
        <is>
          <t>debit</t>
        </is>
      </c>
      <c r="F177" t="n">
        <v>6045.8</v>
      </c>
      <c r="G177" t="inlineStr">
        <is>
          <t>Supplier Payment</t>
        </is>
      </c>
      <c r="H177" t="inlineStr">
        <is>
          <t>Vend_B</t>
        </is>
      </c>
      <c r="I177" t="inlineStr">
        <is>
          <t>2024-04</t>
        </is>
      </c>
    </row>
    <row r="178">
      <c r="A178" t="n">
        <v>177</v>
      </c>
      <c r="B178" s="13" t="n">
        <v>45399</v>
      </c>
      <c r="C178" t="inlineStr">
        <is>
          <t>EUR_Operating</t>
        </is>
      </c>
      <c r="D178" t="inlineStr">
        <is>
          <t>EUR</t>
        </is>
      </c>
      <c r="E178" t="inlineStr">
        <is>
          <t>credit</t>
        </is>
      </c>
      <c r="F178" t="n">
        <v>2975.97</v>
      </c>
      <c r="G178" t="inlineStr">
        <is>
          <t>Customer Payment</t>
        </is>
      </c>
      <c r="H178" t="inlineStr">
        <is>
          <t>Cust_A</t>
        </is>
      </c>
      <c r="I178" t="inlineStr">
        <is>
          <t>2024-04</t>
        </is>
      </c>
    </row>
    <row r="179">
      <c r="A179" t="n">
        <v>178</v>
      </c>
      <c r="B179" s="13" t="n">
        <v>45399</v>
      </c>
      <c r="C179" t="inlineStr">
        <is>
          <t>EUR_Operating</t>
        </is>
      </c>
      <c r="D179" t="inlineStr">
        <is>
          <t>EUR</t>
        </is>
      </c>
      <c r="E179" t="inlineStr">
        <is>
          <t>debit</t>
        </is>
      </c>
      <c r="F179" t="n">
        <v>2797.67</v>
      </c>
      <c r="G179" t="inlineStr">
        <is>
          <t>Supplier Payment</t>
        </is>
      </c>
      <c r="H179" t="inlineStr">
        <is>
          <t>Vend_A</t>
        </is>
      </c>
      <c r="I179" t="inlineStr">
        <is>
          <t>2024-04</t>
        </is>
      </c>
    </row>
    <row r="180">
      <c r="A180" t="n">
        <v>179</v>
      </c>
      <c r="B180" s="13" t="n">
        <v>45399</v>
      </c>
      <c r="C180" t="inlineStr">
        <is>
          <t>EUR_Operating</t>
        </is>
      </c>
      <c r="D180" t="inlineStr">
        <is>
          <t>EUR</t>
        </is>
      </c>
      <c r="E180" t="inlineStr">
        <is>
          <t>debit</t>
        </is>
      </c>
      <c r="F180" t="n">
        <v>4962.49</v>
      </c>
      <c r="G180" t="inlineStr">
        <is>
          <t>Supplier Payment</t>
        </is>
      </c>
      <c r="H180" t="inlineStr">
        <is>
          <t>Vend_C</t>
        </is>
      </c>
      <c r="I180" t="inlineStr">
        <is>
          <t>2024-04</t>
        </is>
      </c>
    </row>
    <row r="181">
      <c r="A181" t="n">
        <v>180</v>
      </c>
      <c r="B181" s="13" t="n">
        <v>45400</v>
      </c>
      <c r="C181" t="inlineStr">
        <is>
          <t>EUR_Operating</t>
        </is>
      </c>
      <c r="D181" t="inlineStr">
        <is>
          <t>EUR</t>
        </is>
      </c>
      <c r="E181" t="inlineStr">
        <is>
          <t>credit</t>
        </is>
      </c>
      <c r="F181" t="n">
        <v>6113.6</v>
      </c>
      <c r="G181" t="inlineStr">
        <is>
          <t>Customer Payment</t>
        </is>
      </c>
      <c r="H181" t="inlineStr">
        <is>
          <t>Cust_D</t>
        </is>
      </c>
      <c r="I181" t="inlineStr">
        <is>
          <t>2024-04</t>
        </is>
      </c>
    </row>
    <row r="182">
      <c r="A182" t="n">
        <v>181</v>
      </c>
      <c r="B182" s="13" t="n">
        <v>45400</v>
      </c>
      <c r="C182" t="inlineStr">
        <is>
          <t>EUR_Operating</t>
        </is>
      </c>
      <c r="D182" t="inlineStr">
        <is>
          <t>EUR</t>
        </is>
      </c>
      <c r="E182" t="inlineStr">
        <is>
          <t>credit</t>
        </is>
      </c>
      <c r="F182" t="n">
        <v>4704.5</v>
      </c>
      <c r="G182" t="inlineStr">
        <is>
          <t>Customer Payment</t>
        </is>
      </c>
      <c r="H182" t="inlineStr">
        <is>
          <t>Cust_B</t>
        </is>
      </c>
      <c r="I182" t="inlineStr">
        <is>
          <t>2024-04</t>
        </is>
      </c>
    </row>
    <row r="183">
      <c r="A183" t="n">
        <v>182</v>
      </c>
      <c r="B183" s="13" t="n">
        <v>45401</v>
      </c>
      <c r="C183" t="inlineStr">
        <is>
          <t>EUR_Operating</t>
        </is>
      </c>
      <c r="D183" t="inlineStr">
        <is>
          <t>EUR</t>
        </is>
      </c>
      <c r="E183" t="inlineStr">
        <is>
          <t>debit</t>
        </is>
      </c>
      <c r="F183" t="n">
        <v>16500.56</v>
      </c>
      <c r="G183" t="inlineStr">
        <is>
          <t>Supplier Payment</t>
        </is>
      </c>
      <c r="H183" t="inlineStr">
        <is>
          <t>Vend_A</t>
        </is>
      </c>
      <c r="I183" t="inlineStr">
        <is>
          <t>2024-04</t>
        </is>
      </c>
    </row>
    <row r="184">
      <c r="A184" t="n">
        <v>183</v>
      </c>
      <c r="B184" s="13" t="n">
        <v>45402</v>
      </c>
      <c r="C184" t="inlineStr">
        <is>
          <t>EUR_Operating</t>
        </is>
      </c>
      <c r="D184" t="inlineStr">
        <is>
          <t>EUR</t>
        </is>
      </c>
      <c r="E184" t="inlineStr">
        <is>
          <t>debit</t>
        </is>
      </c>
      <c r="F184" t="n">
        <v>4800.96</v>
      </c>
      <c r="G184" t="inlineStr">
        <is>
          <t>Supplier Payment</t>
        </is>
      </c>
      <c r="H184" t="inlineStr">
        <is>
          <t>Vend_B</t>
        </is>
      </c>
      <c r="I184" t="inlineStr">
        <is>
          <t>2024-04</t>
        </is>
      </c>
    </row>
    <row r="185">
      <c r="A185" t="n">
        <v>184</v>
      </c>
      <c r="B185" s="13" t="n">
        <v>45403</v>
      </c>
      <c r="C185" t="inlineStr">
        <is>
          <t>EUR_Operating</t>
        </is>
      </c>
      <c r="D185" t="inlineStr">
        <is>
          <t>EUR</t>
        </is>
      </c>
      <c r="E185" t="inlineStr">
        <is>
          <t>credit</t>
        </is>
      </c>
      <c r="F185" t="n">
        <v>6795.43</v>
      </c>
      <c r="G185" t="inlineStr">
        <is>
          <t>Customer Payment</t>
        </is>
      </c>
      <c r="H185" t="inlineStr">
        <is>
          <t>Cust_C</t>
        </is>
      </c>
      <c r="I185" t="inlineStr">
        <is>
          <t>2024-04</t>
        </is>
      </c>
    </row>
    <row r="186">
      <c r="A186" t="n">
        <v>185</v>
      </c>
      <c r="B186" s="13" t="n">
        <v>45403</v>
      </c>
      <c r="C186" t="inlineStr">
        <is>
          <t>USD_Sales</t>
        </is>
      </c>
      <c r="D186" t="inlineStr">
        <is>
          <t>USD</t>
        </is>
      </c>
      <c r="E186" t="inlineStr">
        <is>
          <t>credit</t>
        </is>
      </c>
      <c r="F186" t="n">
        <v>10299.89</v>
      </c>
      <c r="G186" t="inlineStr">
        <is>
          <t>Customer Payment</t>
        </is>
      </c>
      <c r="H186" t="inlineStr">
        <is>
          <t>Cust_B</t>
        </is>
      </c>
      <c r="I186" t="inlineStr">
        <is>
          <t>2024-04</t>
        </is>
      </c>
    </row>
    <row r="187">
      <c r="A187" t="n">
        <v>186</v>
      </c>
      <c r="B187" s="13" t="n">
        <v>45404</v>
      </c>
      <c r="C187" t="inlineStr">
        <is>
          <t>EUR_Operating</t>
        </is>
      </c>
      <c r="D187" t="inlineStr">
        <is>
          <t>EUR</t>
        </is>
      </c>
      <c r="E187" t="inlineStr">
        <is>
          <t>credit</t>
        </is>
      </c>
      <c r="F187" t="n">
        <v>12283.49</v>
      </c>
      <c r="G187" t="inlineStr">
        <is>
          <t>Customer Payment</t>
        </is>
      </c>
      <c r="H187" t="inlineStr">
        <is>
          <t>Cust_A</t>
        </is>
      </c>
      <c r="I187" t="inlineStr">
        <is>
          <t>2024-04</t>
        </is>
      </c>
    </row>
    <row r="188">
      <c r="A188" t="n">
        <v>187</v>
      </c>
      <c r="B188" s="13" t="n">
        <v>45404</v>
      </c>
      <c r="C188" t="inlineStr">
        <is>
          <t>EUR_Operating</t>
        </is>
      </c>
      <c r="D188" t="inlineStr">
        <is>
          <t>EUR</t>
        </is>
      </c>
      <c r="E188" t="inlineStr">
        <is>
          <t>credit</t>
        </is>
      </c>
      <c r="F188" t="n">
        <v>17280.15</v>
      </c>
      <c r="G188" t="inlineStr">
        <is>
          <t>Customer Payment</t>
        </is>
      </c>
      <c r="H188" t="inlineStr">
        <is>
          <t>Cust_C</t>
        </is>
      </c>
      <c r="I188" t="inlineStr">
        <is>
          <t>2024-04</t>
        </is>
      </c>
    </row>
    <row r="189">
      <c r="A189" t="n">
        <v>188</v>
      </c>
      <c r="B189" s="13" t="n">
        <v>45404</v>
      </c>
      <c r="C189" t="inlineStr">
        <is>
          <t>EUR_Operating</t>
        </is>
      </c>
      <c r="D189" t="inlineStr">
        <is>
          <t>EUR</t>
        </is>
      </c>
      <c r="E189" t="inlineStr">
        <is>
          <t>debit</t>
        </is>
      </c>
      <c r="F189" t="n">
        <v>3051.87</v>
      </c>
      <c r="G189" t="inlineStr">
        <is>
          <t>Supplier Payment</t>
        </is>
      </c>
      <c r="H189" t="inlineStr">
        <is>
          <t>Vend_C</t>
        </is>
      </c>
      <c r="I189" t="inlineStr">
        <is>
          <t>2024-04</t>
        </is>
      </c>
    </row>
    <row r="190">
      <c r="A190" t="n">
        <v>189</v>
      </c>
      <c r="B190" s="13" t="n">
        <v>45404</v>
      </c>
      <c r="C190" t="inlineStr">
        <is>
          <t>USD_Sales</t>
        </is>
      </c>
      <c r="D190" t="inlineStr">
        <is>
          <t>USD</t>
        </is>
      </c>
      <c r="E190" t="inlineStr">
        <is>
          <t>debit</t>
        </is>
      </c>
      <c r="F190" t="n">
        <v>1146.99</v>
      </c>
      <c r="G190" t="inlineStr">
        <is>
          <t>Supplier Payment</t>
        </is>
      </c>
      <c r="H190" t="inlineStr">
        <is>
          <t>Vend_C</t>
        </is>
      </c>
      <c r="I190" t="inlineStr">
        <is>
          <t>2024-04</t>
        </is>
      </c>
    </row>
    <row r="191">
      <c r="A191" t="n">
        <v>190</v>
      </c>
      <c r="B191" s="13" t="n">
        <v>45406</v>
      </c>
      <c r="C191" t="inlineStr">
        <is>
          <t>EUR_Operating</t>
        </is>
      </c>
      <c r="D191" t="inlineStr">
        <is>
          <t>EUR</t>
        </is>
      </c>
      <c r="E191" t="inlineStr">
        <is>
          <t>debit</t>
        </is>
      </c>
      <c r="F191" t="n">
        <v>6584.89</v>
      </c>
      <c r="G191" t="inlineStr">
        <is>
          <t>Supplier Payment</t>
        </is>
      </c>
      <c r="H191" t="inlineStr">
        <is>
          <t>Vend_B</t>
        </is>
      </c>
      <c r="I191" t="inlineStr">
        <is>
          <t>2024-04</t>
        </is>
      </c>
    </row>
    <row r="192">
      <c r="A192" t="n">
        <v>191</v>
      </c>
      <c r="B192" s="13" t="n">
        <v>45406</v>
      </c>
      <c r="C192" t="inlineStr">
        <is>
          <t>EUR_Operating</t>
        </is>
      </c>
      <c r="D192" t="inlineStr">
        <is>
          <t>EUR</t>
        </is>
      </c>
      <c r="E192" t="inlineStr">
        <is>
          <t>debit</t>
        </is>
      </c>
      <c r="F192" t="n">
        <v>5125.01</v>
      </c>
      <c r="G192" t="inlineStr">
        <is>
          <t>Supplier Payment</t>
        </is>
      </c>
      <c r="H192" t="inlineStr">
        <is>
          <t>Vend_C</t>
        </is>
      </c>
      <c r="I192" t="inlineStr">
        <is>
          <t>2024-04</t>
        </is>
      </c>
    </row>
    <row r="193">
      <c r="A193" t="n">
        <v>192</v>
      </c>
      <c r="B193" s="13" t="n">
        <v>45407</v>
      </c>
      <c r="C193" t="inlineStr">
        <is>
          <t>EUR_Operating</t>
        </is>
      </c>
      <c r="D193" t="inlineStr">
        <is>
          <t>EUR</t>
        </is>
      </c>
      <c r="E193" t="inlineStr">
        <is>
          <t>credit</t>
        </is>
      </c>
      <c r="F193" t="n">
        <v>8826.23</v>
      </c>
      <c r="G193" t="inlineStr">
        <is>
          <t>Customer Payment</t>
        </is>
      </c>
      <c r="H193" t="inlineStr">
        <is>
          <t>Cust_B</t>
        </is>
      </c>
      <c r="I193" t="inlineStr">
        <is>
          <t>2024-04</t>
        </is>
      </c>
    </row>
    <row r="194">
      <c r="A194" t="n">
        <v>193</v>
      </c>
      <c r="B194" s="13" t="n">
        <v>45407</v>
      </c>
      <c r="C194" t="inlineStr">
        <is>
          <t>EUR_Operating</t>
        </is>
      </c>
      <c r="D194" t="inlineStr">
        <is>
          <t>EUR</t>
        </is>
      </c>
      <c r="E194" t="inlineStr">
        <is>
          <t>debit</t>
        </is>
      </c>
      <c r="F194" t="n">
        <v>3577.94</v>
      </c>
      <c r="G194" t="inlineStr">
        <is>
          <t>Supplier Payment</t>
        </is>
      </c>
      <c r="H194" t="inlineStr">
        <is>
          <t>Vend_C</t>
        </is>
      </c>
      <c r="I194" t="inlineStr">
        <is>
          <t>2024-04</t>
        </is>
      </c>
    </row>
    <row r="195">
      <c r="A195" t="n">
        <v>194</v>
      </c>
      <c r="B195" s="13" t="n">
        <v>45407</v>
      </c>
      <c r="C195" t="inlineStr">
        <is>
          <t>EUR_Operating</t>
        </is>
      </c>
      <c r="D195" t="inlineStr">
        <is>
          <t>EUR</t>
        </is>
      </c>
      <c r="E195" t="inlineStr">
        <is>
          <t>debit</t>
        </is>
      </c>
      <c r="F195" t="n">
        <v>1105.48</v>
      </c>
      <c r="G195" t="inlineStr">
        <is>
          <t>Supplier Payment</t>
        </is>
      </c>
      <c r="H195" t="inlineStr">
        <is>
          <t>Vend_B</t>
        </is>
      </c>
      <c r="I195" t="inlineStr">
        <is>
          <t>2024-04</t>
        </is>
      </c>
    </row>
    <row r="196">
      <c r="A196" t="n">
        <v>195</v>
      </c>
      <c r="B196" s="13" t="n">
        <v>45407</v>
      </c>
      <c r="C196" t="inlineStr">
        <is>
          <t>EUR_Payroll</t>
        </is>
      </c>
      <c r="D196" t="inlineStr">
        <is>
          <t>EUR</t>
        </is>
      </c>
      <c r="E196" t="inlineStr">
        <is>
          <t>debit</t>
        </is>
      </c>
      <c r="F196" t="n">
        <v>124831.92</v>
      </c>
      <c r="G196" t="inlineStr">
        <is>
          <t>Payroll</t>
        </is>
      </c>
      <c r="H196" t="inlineStr">
        <is>
          <t>Payroll</t>
        </is>
      </c>
      <c r="I196" t="inlineStr">
        <is>
          <t>2024-04</t>
        </is>
      </c>
    </row>
    <row r="197">
      <c r="A197" t="n">
        <v>196</v>
      </c>
      <c r="B197" s="13" t="n">
        <v>45407</v>
      </c>
      <c r="C197" t="inlineStr">
        <is>
          <t>EUR_Operating</t>
        </is>
      </c>
      <c r="D197" t="inlineStr">
        <is>
          <t>EUR</t>
        </is>
      </c>
      <c r="E197" t="inlineStr">
        <is>
          <t>debit</t>
        </is>
      </c>
      <c r="F197" t="n">
        <v>124831.92</v>
      </c>
      <c r="G197" t="inlineStr">
        <is>
          <t>Transfer to Payroll</t>
        </is>
      </c>
      <c r="H197" t="inlineStr">
        <is>
          <t>Payroll</t>
        </is>
      </c>
      <c r="I197" t="inlineStr">
        <is>
          <t>2024-04</t>
        </is>
      </c>
    </row>
    <row r="198">
      <c r="A198" t="n">
        <v>197</v>
      </c>
      <c r="B198" s="13" t="n">
        <v>45408</v>
      </c>
      <c r="C198" t="inlineStr">
        <is>
          <t>EUR_Operating</t>
        </is>
      </c>
      <c r="D198" t="inlineStr">
        <is>
          <t>EUR</t>
        </is>
      </c>
      <c r="E198" t="inlineStr">
        <is>
          <t>credit</t>
        </is>
      </c>
      <c r="F198" t="n">
        <v>30806.54</v>
      </c>
      <c r="G198" t="inlineStr">
        <is>
          <t>Customer Payment</t>
        </is>
      </c>
      <c r="H198" t="inlineStr">
        <is>
          <t>Cust_D</t>
        </is>
      </c>
      <c r="I198" t="inlineStr">
        <is>
          <t>2024-04</t>
        </is>
      </c>
    </row>
    <row r="199">
      <c r="A199" t="n">
        <v>198</v>
      </c>
      <c r="B199" s="13" t="n">
        <v>45408</v>
      </c>
      <c r="C199" t="inlineStr">
        <is>
          <t>EUR_Operating</t>
        </is>
      </c>
      <c r="D199" t="inlineStr">
        <is>
          <t>EUR</t>
        </is>
      </c>
      <c r="E199" t="inlineStr">
        <is>
          <t>debit</t>
        </is>
      </c>
      <c r="F199" t="n">
        <v>5808.07</v>
      </c>
      <c r="G199" t="inlineStr">
        <is>
          <t>Supplier Payment</t>
        </is>
      </c>
      <c r="H199" t="inlineStr">
        <is>
          <t>Vend_A</t>
        </is>
      </c>
      <c r="I199" t="inlineStr">
        <is>
          <t>2024-04</t>
        </is>
      </c>
    </row>
    <row r="200">
      <c r="A200" t="n">
        <v>199</v>
      </c>
      <c r="B200" s="13" t="n">
        <v>45409</v>
      </c>
      <c r="C200" t="inlineStr">
        <is>
          <t>EUR_Operating</t>
        </is>
      </c>
      <c r="D200" t="inlineStr">
        <is>
          <t>EUR</t>
        </is>
      </c>
      <c r="E200" t="inlineStr">
        <is>
          <t>debit</t>
        </is>
      </c>
      <c r="F200" t="n">
        <v>6914.21</v>
      </c>
      <c r="G200" t="inlineStr">
        <is>
          <t>Supplier Payment</t>
        </is>
      </c>
      <c r="H200" t="inlineStr">
        <is>
          <t>Vend_A</t>
        </is>
      </c>
      <c r="I200" t="inlineStr">
        <is>
          <t>2024-04</t>
        </is>
      </c>
    </row>
    <row r="201">
      <c r="A201" t="n">
        <v>200</v>
      </c>
      <c r="B201" s="13" t="n">
        <v>45410</v>
      </c>
      <c r="C201" t="inlineStr">
        <is>
          <t>EUR_Operating</t>
        </is>
      </c>
      <c r="D201" t="inlineStr">
        <is>
          <t>EUR</t>
        </is>
      </c>
      <c r="E201" t="inlineStr">
        <is>
          <t>debit</t>
        </is>
      </c>
      <c r="F201" t="n">
        <v>7557.18</v>
      </c>
      <c r="G201" t="inlineStr">
        <is>
          <t>Supplier Payment</t>
        </is>
      </c>
      <c r="H201" t="inlineStr">
        <is>
          <t>Vend_B</t>
        </is>
      </c>
      <c r="I201" t="inlineStr">
        <is>
          <t>2024-04</t>
        </is>
      </c>
    </row>
    <row r="202">
      <c r="A202" t="n">
        <v>201</v>
      </c>
      <c r="B202" s="13" t="n">
        <v>45410</v>
      </c>
      <c r="C202" t="inlineStr">
        <is>
          <t>EUR_Operating</t>
        </is>
      </c>
      <c r="D202" t="inlineStr">
        <is>
          <t>EUR</t>
        </is>
      </c>
      <c r="E202" t="inlineStr">
        <is>
          <t>debit</t>
        </is>
      </c>
      <c r="F202" t="n">
        <v>7376.18</v>
      </c>
      <c r="G202" t="inlineStr">
        <is>
          <t>Supplier Payment</t>
        </is>
      </c>
      <c r="H202" t="inlineStr">
        <is>
          <t>Vend_B</t>
        </is>
      </c>
      <c r="I202" t="inlineStr">
        <is>
          <t>2024-04</t>
        </is>
      </c>
    </row>
    <row r="203">
      <c r="A203" t="n">
        <v>202</v>
      </c>
      <c r="B203" s="13" t="n">
        <v>45410</v>
      </c>
      <c r="C203" t="inlineStr">
        <is>
          <t>EUR_Operating</t>
        </is>
      </c>
      <c r="D203" t="inlineStr">
        <is>
          <t>EUR</t>
        </is>
      </c>
      <c r="E203" t="inlineStr">
        <is>
          <t>debit</t>
        </is>
      </c>
      <c r="F203" t="n">
        <v>245.06</v>
      </c>
      <c r="G203" t="inlineStr">
        <is>
          <t>Supplier Payment</t>
        </is>
      </c>
      <c r="H203" t="inlineStr">
        <is>
          <t>Vend_A</t>
        </is>
      </c>
      <c r="I203" t="inlineStr">
        <is>
          <t>2024-04</t>
        </is>
      </c>
    </row>
    <row r="204">
      <c r="A204" t="n">
        <v>203</v>
      </c>
      <c r="B204" s="13" t="n">
        <v>45410</v>
      </c>
      <c r="C204" t="inlineStr">
        <is>
          <t>EUR_Operating</t>
        </is>
      </c>
      <c r="D204" t="inlineStr">
        <is>
          <t>EUR</t>
        </is>
      </c>
      <c r="E204" t="inlineStr">
        <is>
          <t>debit</t>
        </is>
      </c>
      <c r="F204" t="n">
        <v>4449.7</v>
      </c>
      <c r="G204" t="inlineStr">
        <is>
          <t>Supplier Payment</t>
        </is>
      </c>
      <c r="H204" t="inlineStr">
        <is>
          <t>Vend_B</t>
        </is>
      </c>
      <c r="I204" t="inlineStr">
        <is>
          <t>2024-04</t>
        </is>
      </c>
    </row>
    <row r="205">
      <c r="A205" t="n">
        <v>204</v>
      </c>
      <c r="B205" s="13" t="n">
        <v>45410</v>
      </c>
      <c r="C205" t="inlineStr">
        <is>
          <t>EUR_Operating</t>
        </is>
      </c>
      <c r="D205" t="inlineStr">
        <is>
          <t>EUR</t>
        </is>
      </c>
      <c r="E205" t="inlineStr">
        <is>
          <t>debit</t>
        </is>
      </c>
      <c r="F205" t="n">
        <v>10734.27</v>
      </c>
      <c r="G205" t="inlineStr">
        <is>
          <t>Supplier Payment</t>
        </is>
      </c>
      <c r="H205" t="inlineStr">
        <is>
          <t>Vend_A</t>
        </is>
      </c>
      <c r="I205" t="inlineStr">
        <is>
          <t>2024-04</t>
        </is>
      </c>
    </row>
    <row r="206">
      <c r="A206" t="n">
        <v>205</v>
      </c>
      <c r="B206" s="13" t="n">
        <v>45410</v>
      </c>
      <c r="C206" t="inlineStr">
        <is>
          <t>EUR_Operating</t>
        </is>
      </c>
      <c r="D206" t="inlineStr">
        <is>
          <t>EUR</t>
        </is>
      </c>
      <c r="E206" t="inlineStr">
        <is>
          <t>debit</t>
        </is>
      </c>
      <c r="F206" t="n">
        <v>6317.96</v>
      </c>
      <c r="G206" t="inlineStr">
        <is>
          <t>Supplier Payment</t>
        </is>
      </c>
      <c r="H206" t="inlineStr">
        <is>
          <t>Vend_C</t>
        </is>
      </c>
      <c r="I206" t="inlineStr">
        <is>
          <t>2024-04</t>
        </is>
      </c>
    </row>
    <row r="207">
      <c r="A207" t="n">
        <v>206</v>
      </c>
      <c r="B207" s="13" t="n">
        <v>45411</v>
      </c>
      <c r="C207" t="inlineStr">
        <is>
          <t>EUR_Operating</t>
        </is>
      </c>
      <c r="D207" t="inlineStr">
        <is>
          <t>EUR</t>
        </is>
      </c>
      <c r="E207" t="inlineStr">
        <is>
          <t>credit</t>
        </is>
      </c>
      <c r="F207" t="n">
        <v>13893.76</v>
      </c>
      <c r="G207" t="inlineStr">
        <is>
          <t>Customer Payment</t>
        </is>
      </c>
      <c r="H207" t="inlineStr">
        <is>
          <t>Cust_A</t>
        </is>
      </c>
      <c r="I207" t="inlineStr">
        <is>
          <t>2024-04</t>
        </is>
      </c>
    </row>
    <row r="208">
      <c r="A208" t="n">
        <v>207</v>
      </c>
      <c r="B208" s="13" t="n">
        <v>45411</v>
      </c>
      <c r="C208" t="inlineStr">
        <is>
          <t>EUR_Operating</t>
        </is>
      </c>
      <c r="D208" t="inlineStr">
        <is>
          <t>EUR</t>
        </is>
      </c>
      <c r="E208" t="inlineStr">
        <is>
          <t>debit</t>
        </is>
      </c>
      <c r="F208" t="n">
        <v>5187.79</v>
      </c>
      <c r="G208" t="inlineStr">
        <is>
          <t>Supplier Payment</t>
        </is>
      </c>
      <c r="H208" t="inlineStr">
        <is>
          <t>Vend_C</t>
        </is>
      </c>
      <c r="I208" t="inlineStr">
        <is>
          <t>2024-04</t>
        </is>
      </c>
    </row>
    <row r="209">
      <c r="A209" t="n">
        <v>208</v>
      </c>
      <c r="B209" s="13" t="n">
        <v>45412</v>
      </c>
      <c r="C209" t="inlineStr">
        <is>
          <t>EUR_Operating</t>
        </is>
      </c>
      <c r="D209" t="inlineStr">
        <is>
          <t>EUR</t>
        </is>
      </c>
      <c r="E209" t="inlineStr">
        <is>
          <t>debit</t>
        </is>
      </c>
      <c r="F209" t="n">
        <v>12184.78</v>
      </c>
      <c r="G209" t="inlineStr">
        <is>
          <t>Supplier Payment</t>
        </is>
      </c>
      <c r="H209" t="inlineStr">
        <is>
          <t>Vend_C</t>
        </is>
      </c>
      <c r="I209" t="inlineStr">
        <is>
          <t>2024-04</t>
        </is>
      </c>
    </row>
    <row r="210">
      <c r="A210" t="n">
        <v>209</v>
      </c>
      <c r="B210" s="13" t="n">
        <v>45412</v>
      </c>
      <c r="C210" t="inlineStr">
        <is>
          <t>EUR_Operating</t>
        </is>
      </c>
      <c r="D210" t="inlineStr">
        <is>
          <t>EUR</t>
        </is>
      </c>
      <c r="E210" t="inlineStr">
        <is>
          <t>debit</t>
        </is>
      </c>
      <c r="F210" t="n">
        <v>2903.15</v>
      </c>
      <c r="G210" t="inlineStr">
        <is>
          <t>Supplier Payment</t>
        </is>
      </c>
      <c r="H210" t="inlineStr">
        <is>
          <t>Vend_A</t>
        </is>
      </c>
      <c r="I210" t="inlineStr">
        <is>
          <t>2024-04</t>
        </is>
      </c>
    </row>
    <row r="211">
      <c r="A211" t="n">
        <v>210</v>
      </c>
      <c r="B211" s="13" t="n">
        <v>45412</v>
      </c>
      <c r="C211" t="inlineStr">
        <is>
          <t>EUR_Operating</t>
        </is>
      </c>
      <c r="D211" t="inlineStr">
        <is>
          <t>EUR</t>
        </is>
      </c>
      <c r="E211" t="inlineStr">
        <is>
          <t>debit</t>
        </is>
      </c>
      <c r="F211" t="n">
        <v>5973.47</v>
      </c>
      <c r="G211" t="inlineStr">
        <is>
          <t>Supplier Payment</t>
        </is>
      </c>
      <c r="H211" t="inlineStr">
        <is>
          <t>Vend_C</t>
        </is>
      </c>
      <c r="I211" t="inlineStr">
        <is>
          <t>2024-04</t>
        </is>
      </c>
    </row>
    <row r="212">
      <c r="A212" t="n">
        <v>211</v>
      </c>
      <c r="B212" s="13" t="n">
        <v>45413</v>
      </c>
      <c r="C212" t="inlineStr">
        <is>
          <t>EUR_Operating</t>
        </is>
      </c>
      <c r="D212" t="inlineStr">
        <is>
          <t>EUR</t>
        </is>
      </c>
      <c r="E212" t="inlineStr">
        <is>
          <t>credit</t>
        </is>
      </c>
      <c r="F212" t="n">
        <v>6385.07</v>
      </c>
      <c r="G212" t="inlineStr">
        <is>
          <t>Customer Payment</t>
        </is>
      </c>
      <c r="H212" t="inlineStr">
        <is>
          <t>Cust_C</t>
        </is>
      </c>
      <c r="I212" t="inlineStr">
        <is>
          <t>2024-05</t>
        </is>
      </c>
    </row>
    <row r="213">
      <c r="A213" t="n">
        <v>212</v>
      </c>
      <c r="B213" s="13" t="n">
        <v>45413</v>
      </c>
      <c r="C213" t="inlineStr">
        <is>
          <t>EUR_Operating</t>
        </is>
      </c>
      <c r="D213" t="inlineStr">
        <is>
          <t>EUR</t>
        </is>
      </c>
      <c r="E213" t="inlineStr">
        <is>
          <t>debit</t>
        </is>
      </c>
      <c r="F213" t="n">
        <v>29553.33</v>
      </c>
      <c r="G213" t="inlineStr">
        <is>
          <t>Loan Interest</t>
        </is>
      </c>
      <c r="H213" t="inlineStr">
        <is>
          <t>Bank Loan</t>
        </is>
      </c>
      <c r="I213" t="inlineStr">
        <is>
          <t>2024-05</t>
        </is>
      </c>
    </row>
    <row r="214">
      <c r="A214" t="n">
        <v>213</v>
      </c>
      <c r="B214" s="13" t="n">
        <v>45415</v>
      </c>
      <c r="C214" t="inlineStr">
        <is>
          <t>EUR_Operating</t>
        </is>
      </c>
      <c r="D214" t="inlineStr">
        <is>
          <t>EUR</t>
        </is>
      </c>
      <c r="E214" t="inlineStr">
        <is>
          <t>credit</t>
        </is>
      </c>
      <c r="F214" t="n">
        <v>9312.98</v>
      </c>
      <c r="G214" t="inlineStr">
        <is>
          <t>Customer Payment</t>
        </is>
      </c>
      <c r="H214" t="inlineStr">
        <is>
          <t>Cust_B</t>
        </is>
      </c>
      <c r="I214" t="inlineStr">
        <is>
          <t>2024-05</t>
        </is>
      </c>
    </row>
    <row r="215">
      <c r="A215" t="n">
        <v>214</v>
      </c>
      <c r="B215" s="13" t="n">
        <v>45415</v>
      </c>
      <c r="C215" t="inlineStr">
        <is>
          <t>EUR_Operating</t>
        </is>
      </c>
      <c r="D215" t="inlineStr">
        <is>
          <t>EUR</t>
        </is>
      </c>
      <c r="E215" t="inlineStr">
        <is>
          <t>debit</t>
        </is>
      </c>
      <c r="F215" t="n">
        <v>10496.25</v>
      </c>
      <c r="G215" t="inlineStr">
        <is>
          <t>Supplier Payment</t>
        </is>
      </c>
      <c r="H215" t="inlineStr">
        <is>
          <t>Vend_C</t>
        </is>
      </c>
      <c r="I215" t="inlineStr">
        <is>
          <t>2024-05</t>
        </is>
      </c>
    </row>
    <row r="216">
      <c r="A216" t="n">
        <v>215</v>
      </c>
      <c r="B216" s="13" t="n">
        <v>45416</v>
      </c>
      <c r="C216" t="inlineStr">
        <is>
          <t>EUR_Operating</t>
        </is>
      </c>
      <c r="D216" t="inlineStr">
        <is>
          <t>EUR</t>
        </is>
      </c>
      <c r="E216" t="inlineStr">
        <is>
          <t>debit</t>
        </is>
      </c>
      <c r="F216" t="n">
        <v>7999.48</v>
      </c>
      <c r="G216" t="inlineStr">
        <is>
          <t>Supplier Payment</t>
        </is>
      </c>
      <c r="H216" t="inlineStr">
        <is>
          <t>Vend_A</t>
        </is>
      </c>
      <c r="I216" t="inlineStr">
        <is>
          <t>2024-05</t>
        </is>
      </c>
    </row>
    <row r="217">
      <c r="A217" t="n">
        <v>216</v>
      </c>
      <c r="B217" s="13" t="n">
        <v>45418</v>
      </c>
      <c r="C217" t="inlineStr">
        <is>
          <t>EUR_Operating</t>
        </is>
      </c>
      <c r="D217" t="inlineStr">
        <is>
          <t>EUR</t>
        </is>
      </c>
      <c r="E217" t="inlineStr">
        <is>
          <t>credit</t>
        </is>
      </c>
      <c r="F217" t="n">
        <v>8099.77</v>
      </c>
      <c r="G217" t="inlineStr">
        <is>
          <t>Customer Payment</t>
        </is>
      </c>
      <c r="H217" t="inlineStr">
        <is>
          <t>Cust_B</t>
        </is>
      </c>
      <c r="I217" t="inlineStr">
        <is>
          <t>2024-05</t>
        </is>
      </c>
    </row>
    <row r="218">
      <c r="A218" t="n">
        <v>217</v>
      </c>
      <c r="B218" s="13" t="n">
        <v>45418</v>
      </c>
      <c r="C218" t="inlineStr">
        <is>
          <t>EUR_Operating</t>
        </is>
      </c>
      <c r="D218" t="inlineStr">
        <is>
          <t>EUR</t>
        </is>
      </c>
      <c r="E218" t="inlineStr">
        <is>
          <t>debit</t>
        </is>
      </c>
      <c r="F218" t="n">
        <v>10388.64</v>
      </c>
      <c r="G218" t="inlineStr">
        <is>
          <t>Supplier Payment</t>
        </is>
      </c>
      <c r="H218" t="inlineStr">
        <is>
          <t>Vend_C</t>
        </is>
      </c>
      <c r="I218" t="inlineStr">
        <is>
          <t>2024-05</t>
        </is>
      </c>
    </row>
    <row r="219">
      <c r="A219" t="n">
        <v>218</v>
      </c>
      <c r="B219" s="13" t="n">
        <v>45420</v>
      </c>
      <c r="C219" t="inlineStr">
        <is>
          <t>EUR_Operating</t>
        </is>
      </c>
      <c r="D219" t="inlineStr">
        <is>
          <t>EUR</t>
        </is>
      </c>
      <c r="E219" t="inlineStr">
        <is>
          <t>credit</t>
        </is>
      </c>
      <c r="F219" t="n">
        <v>4018.13</v>
      </c>
      <c r="G219" t="inlineStr">
        <is>
          <t>Customer Payment</t>
        </is>
      </c>
      <c r="H219" t="inlineStr">
        <is>
          <t>Cust_B</t>
        </is>
      </c>
      <c r="I219" t="inlineStr">
        <is>
          <t>2024-05</t>
        </is>
      </c>
    </row>
    <row r="220">
      <c r="A220" t="n">
        <v>219</v>
      </c>
      <c r="B220" s="13" t="n">
        <v>45420</v>
      </c>
      <c r="C220" t="inlineStr">
        <is>
          <t>EUR_Operating</t>
        </is>
      </c>
      <c r="D220" t="inlineStr">
        <is>
          <t>EUR</t>
        </is>
      </c>
      <c r="E220" t="inlineStr">
        <is>
          <t>debit</t>
        </is>
      </c>
      <c r="F220" t="n">
        <v>1893.02</v>
      </c>
      <c r="G220" t="inlineStr">
        <is>
          <t>Supplier Payment</t>
        </is>
      </c>
      <c r="H220" t="inlineStr">
        <is>
          <t>Vend_B</t>
        </is>
      </c>
      <c r="I220" t="inlineStr">
        <is>
          <t>2024-05</t>
        </is>
      </c>
    </row>
    <row r="221">
      <c r="A221" t="n">
        <v>220</v>
      </c>
      <c r="B221" s="13" t="n">
        <v>45422</v>
      </c>
      <c r="C221" t="inlineStr">
        <is>
          <t>EUR_Operating</t>
        </is>
      </c>
      <c r="D221" t="inlineStr">
        <is>
          <t>EUR</t>
        </is>
      </c>
      <c r="E221" t="inlineStr">
        <is>
          <t>credit</t>
        </is>
      </c>
      <c r="F221" t="n">
        <v>5023.92</v>
      </c>
      <c r="G221" t="inlineStr">
        <is>
          <t>Customer Payment</t>
        </is>
      </c>
      <c r="H221" t="inlineStr">
        <is>
          <t>Cust_B</t>
        </is>
      </c>
      <c r="I221" t="inlineStr">
        <is>
          <t>2024-05</t>
        </is>
      </c>
    </row>
    <row r="222">
      <c r="A222" t="n">
        <v>221</v>
      </c>
      <c r="B222" s="13" t="n">
        <v>45422</v>
      </c>
      <c r="C222" t="inlineStr">
        <is>
          <t>USD_Sales</t>
        </is>
      </c>
      <c r="D222" t="inlineStr">
        <is>
          <t>USD</t>
        </is>
      </c>
      <c r="E222" t="inlineStr">
        <is>
          <t>credit</t>
        </is>
      </c>
      <c r="F222" t="n">
        <v>2373.28</v>
      </c>
      <c r="G222" t="inlineStr">
        <is>
          <t>Customer Payment</t>
        </is>
      </c>
      <c r="H222" t="inlineStr">
        <is>
          <t>Cust_B</t>
        </is>
      </c>
      <c r="I222" t="inlineStr">
        <is>
          <t>2024-05</t>
        </is>
      </c>
    </row>
    <row r="223">
      <c r="A223" t="n">
        <v>222</v>
      </c>
      <c r="B223" s="13" t="n">
        <v>45422</v>
      </c>
      <c r="C223" t="inlineStr">
        <is>
          <t>EUR_Operating</t>
        </is>
      </c>
      <c r="D223" t="inlineStr">
        <is>
          <t>EUR</t>
        </is>
      </c>
      <c r="E223" t="inlineStr">
        <is>
          <t>debit</t>
        </is>
      </c>
      <c r="F223" t="n">
        <v>5237.94</v>
      </c>
      <c r="G223" t="inlineStr">
        <is>
          <t>Supplier Payment</t>
        </is>
      </c>
      <c r="H223" t="inlineStr">
        <is>
          <t>Vend_B</t>
        </is>
      </c>
      <c r="I223" t="inlineStr">
        <is>
          <t>2024-05</t>
        </is>
      </c>
    </row>
    <row r="224">
      <c r="A224" t="n">
        <v>223</v>
      </c>
      <c r="B224" s="13" t="n">
        <v>45423</v>
      </c>
      <c r="C224" t="inlineStr">
        <is>
          <t>EUR_Operating</t>
        </is>
      </c>
      <c r="D224" t="inlineStr">
        <is>
          <t>EUR</t>
        </is>
      </c>
      <c r="E224" t="inlineStr">
        <is>
          <t>credit</t>
        </is>
      </c>
      <c r="F224" t="n">
        <v>15601.25</v>
      </c>
      <c r="G224" t="inlineStr">
        <is>
          <t>Customer Payment</t>
        </is>
      </c>
      <c r="H224" t="inlineStr">
        <is>
          <t>Cust_C</t>
        </is>
      </c>
      <c r="I224" t="inlineStr">
        <is>
          <t>2024-05</t>
        </is>
      </c>
    </row>
    <row r="225">
      <c r="A225" t="n">
        <v>224</v>
      </c>
      <c r="B225" s="13" t="n">
        <v>45423</v>
      </c>
      <c r="C225" t="inlineStr">
        <is>
          <t>EUR_Operating</t>
        </is>
      </c>
      <c r="D225" t="inlineStr">
        <is>
          <t>EUR</t>
        </is>
      </c>
      <c r="E225" t="inlineStr">
        <is>
          <t>credit</t>
        </is>
      </c>
      <c r="F225" t="n">
        <v>12128.97</v>
      </c>
      <c r="G225" t="inlineStr">
        <is>
          <t>Customer Payment</t>
        </is>
      </c>
      <c r="H225" t="inlineStr">
        <is>
          <t>Cust_B</t>
        </is>
      </c>
      <c r="I225" t="inlineStr">
        <is>
          <t>2024-05</t>
        </is>
      </c>
    </row>
    <row r="226">
      <c r="A226" t="n">
        <v>225</v>
      </c>
      <c r="B226" s="13" t="n">
        <v>45423</v>
      </c>
      <c r="C226" t="inlineStr">
        <is>
          <t>EUR_Operating</t>
        </is>
      </c>
      <c r="D226" t="inlineStr">
        <is>
          <t>EUR</t>
        </is>
      </c>
      <c r="E226" t="inlineStr">
        <is>
          <t>debit</t>
        </is>
      </c>
      <c r="F226" t="n">
        <v>2200.78</v>
      </c>
      <c r="G226" t="inlineStr">
        <is>
          <t>Supplier Payment</t>
        </is>
      </c>
      <c r="H226" t="inlineStr">
        <is>
          <t>Vend_A</t>
        </is>
      </c>
      <c r="I226" t="inlineStr">
        <is>
          <t>2024-05</t>
        </is>
      </c>
    </row>
    <row r="227">
      <c r="A227" t="n">
        <v>226</v>
      </c>
      <c r="B227" s="13" t="n">
        <v>45423</v>
      </c>
      <c r="C227" t="inlineStr">
        <is>
          <t>EUR_Operating</t>
        </is>
      </c>
      <c r="D227" t="inlineStr">
        <is>
          <t>EUR</t>
        </is>
      </c>
      <c r="E227" t="inlineStr">
        <is>
          <t>debit</t>
        </is>
      </c>
      <c r="F227" t="n">
        <v>82.08</v>
      </c>
      <c r="G227" t="inlineStr">
        <is>
          <t>Bank Fee</t>
        </is>
      </c>
      <c r="H227" t="inlineStr">
        <is>
          <t>Bank</t>
        </is>
      </c>
      <c r="I227" t="inlineStr">
        <is>
          <t>2024-05</t>
        </is>
      </c>
    </row>
    <row r="228">
      <c r="A228" t="n">
        <v>227</v>
      </c>
      <c r="B228" s="13" t="n">
        <v>45424</v>
      </c>
      <c r="C228" t="inlineStr">
        <is>
          <t>EUR_Operating</t>
        </is>
      </c>
      <c r="D228" t="inlineStr">
        <is>
          <t>EUR</t>
        </is>
      </c>
      <c r="E228" t="inlineStr">
        <is>
          <t>credit</t>
        </is>
      </c>
      <c r="F228" t="n">
        <v>11272.35</v>
      </c>
      <c r="G228" t="inlineStr">
        <is>
          <t>Customer Payment</t>
        </is>
      </c>
      <c r="H228" t="inlineStr">
        <is>
          <t>Cust_C</t>
        </is>
      </c>
      <c r="I228" t="inlineStr">
        <is>
          <t>2024-05</t>
        </is>
      </c>
    </row>
    <row r="229">
      <c r="A229" t="n">
        <v>228</v>
      </c>
      <c r="B229" s="13" t="n">
        <v>45424</v>
      </c>
      <c r="C229" t="inlineStr">
        <is>
          <t>USD_Sales</t>
        </is>
      </c>
      <c r="D229" t="inlineStr">
        <is>
          <t>USD</t>
        </is>
      </c>
      <c r="E229" t="inlineStr">
        <is>
          <t>debit</t>
        </is>
      </c>
      <c r="F229" t="n">
        <v>9108.32</v>
      </c>
      <c r="G229" t="inlineStr">
        <is>
          <t>Supplier Payment</t>
        </is>
      </c>
      <c r="H229" t="inlineStr">
        <is>
          <t>Vend_A</t>
        </is>
      </c>
      <c r="I229" t="inlineStr">
        <is>
          <t>2024-05</t>
        </is>
      </c>
    </row>
    <row r="230">
      <c r="A230" t="n">
        <v>229</v>
      </c>
      <c r="B230" s="13" t="n">
        <v>45424</v>
      </c>
      <c r="C230" t="inlineStr">
        <is>
          <t>EUR_Operating</t>
        </is>
      </c>
      <c r="D230" t="inlineStr">
        <is>
          <t>EUR</t>
        </is>
      </c>
      <c r="E230" t="inlineStr">
        <is>
          <t>debit</t>
        </is>
      </c>
      <c r="F230" t="n">
        <v>12198.84</v>
      </c>
      <c r="G230" t="inlineStr">
        <is>
          <t>Supplier Payment</t>
        </is>
      </c>
      <c r="H230" t="inlineStr">
        <is>
          <t>Vend_C</t>
        </is>
      </c>
      <c r="I230" t="inlineStr">
        <is>
          <t>2024-05</t>
        </is>
      </c>
    </row>
    <row r="231">
      <c r="A231" t="n">
        <v>230</v>
      </c>
      <c r="B231" s="13" t="n">
        <v>45425</v>
      </c>
      <c r="C231" t="inlineStr">
        <is>
          <t>EUR_Operating</t>
        </is>
      </c>
      <c r="D231" t="inlineStr">
        <is>
          <t>EUR</t>
        </is>
      </c>
      <c r="E231" t="inlineStr">
        <is>
          <t>credit</t>
        </is>
      </c>
      <c r="F231" t="n">
        <v>15308.75</v>
      </c>
      <c r="G231" t="inlineStr">
        <is>
          <t>Customer Payment</t>
        </is>
      </c>
      <c r="H231" t="inlineStr">
        <is>
          <t>Cust_C</t>
        </is>
      </c>
      <c r="I231" t="inlineStr">
        <is>
          <t>2024-05</t>
        </is>
      </c>
    </row>
    <row r="232">
      <c r="A232" t="n">
        <v>231</v>
      </c>
      <c r="B232" s="13" t="n">
        <v>45425</v>
      </c>
      <c r="C232" t="inlineStr">
        <is>
          <t>EUR_Operating</t>
        </is>
      </c>
      <c r="D232" t="inlineStr">
        <is>
          <t>EUR</t>
        </is>
      </c>
      <c r="E232" t="inlineStr">
        <is>
          <t>debit</t>
        </is>
      </c>
      <c r="F232" t="n">
        <v>7203.05</v>
      </c>
      <c r="G232" t="inlineStr">
        <is>
          <t>Supplier Payment</t>
        </is>
      </c>
      <c r="H232" t="inlineStr">
        <is>
          <t>Vend_C</t>
        </is>
      </c>
      <c r="I232" t="inlineStr">
        <is>
          <t>2024-05</t>
        </is>
      </c>
    </row>
    <row r="233">
      <c r="A233" t="n">
        <v>232</v>
      </c>
      <c r="B233" s="13" t="n">
        <v>45426</v>
      </c>
      <c r="C233" t="inlineStr">
        <is>
          <t>EUR_Operating</t>
        </is>
      </c>
      <c r="D233" t="inlineStr">
        <is>
          <t>EUR</t>
        </is>
      </c>
      <c r="E233" t="inlineStr">
        <is>
          <t>credit</t>
        </is>
      </c>
      <c r="F233" t="n">
        <v>2601.27</v>
      </c>
      <c r="G233" t="inlineStr">
        <is>
          <t>Customer Payment</t>
        </is>
      </c>
      <c r="H233" t="inlineStr">
        <is>
          <t>Cust_D</t>
        </is>
      </c>
      <c r="I233" t="inlineStr">
        <is>
          <t>2024-05</t>
        </is>
      </c>
    </row>
    <row r="234">
      <c r="A234" t="n">
        <v>233</v>
      </c>
      <c r="B234" s="13" t="n">
        <v>45427</v>
      </c>
      <c r="C234" t="inlineStr">
        <is>
          <t>EUR_Operating</t>
        </is>
      </c>
      <c r="D234" t="inlineStr">
        <is>
          <t>EUR</t>
        </is>
      </c>
      <c r="E234" t="inlineStr">
        <is>
          <t>credit</t>
        </is>
      </c>
      <c r="F234" t="n">
        <v>5839.01</v>
      </c>
      <c r="G234" t="inlineStr">
        <is>
          <t>Customer Payment</t>
        </is>
      </c>
      <c r="H234" t="inlineStr">
        <is>
          <t>Cust_B</t>
        </is>
      </c>
      <c r="I234" t="inlineStr">
        <is>
          <t>2024-05</t>
        </is>
      </c>
    </row>
    <row r="235">
      <c r="A235" t="n">
        <v>234</v>
      </c>
      <c r="B235" s="13" t="n">
        <v>45427</v>
      </c>
      <c r="C235" t="inlineStr">
        <is>
          <t>EUR_Operating</t>
        </is>
      </c>
      <c r="D235" t="inlineStr">
        <is>
          <t>EUR</t>
        </is>
      </c>
      <c r="E235" t="inlineStr">
        <is>
          <t>debit</t>
        </is>
      </c>
      <c r="F235" t="n">
        <v>6463.95</v>
      </c>
      <c r="G235" t="inlineStr">
        <is>
          <t>Supplier Payment</t>
        </is>
      </c>
      <c r="H235" t="inlineStr">
        <is>
          <t>Vend_A</t>
        </is>
      </c>
      <c r="I235" t="inlineStr">
        <is>
          <t>2024-05</t>
        </is>
      </c>
    </row>
    <row r="236">
      <c r="A236" t="n">
        <v>235</v>
      </c>
      <c r="B236" s="13" t="n">
        <v>45428</v>
      </c>
      <c r="C236" t="inlineStr">
        <is>
          <t>EUR_Operating</t>
        </is>
      </c>
      <c r="D236" t="inlineStr">
        <is>
          <t>EUR</t>
        </is>
      </c>
      <c r="E236" t="inlineStr">
        <is>
          <t>debit</t>
        </is>
      </c>
      <c r="F236" t="n">
        <v>10542.02</v>
      </c>
      <c r="G236" t="inlineStr">
        <is>
          <t>Supplier Payment</t>
        </is>
      </c>
      <c r="H236" t="inlineStr">
        <is>
          <t>Vend_A</t>
        </is>
      </c>
      <c r="I236" t="inlineStr">
        <is>
          <t>2024-05</t>
        </is>
      </c>
    </row>
    <row r="237">
      <c r="A237" t="n">
        <v>236</v>
      </c>
      <c r="B237" s="13" t="n">
        <v>45431</v>
      </c>
      <c r="C237" t="inlineStr">
        <is>
          <t>EUR_Operating</t>
        </is>
      </c>
      <c r="D237" t="inlineStr">
        <is>
          <t>EUR</t>
        </is>
      </c>
      <c r="E237" t="inlineStr">
        <is>
          <t>credit</t>
        </is>
      </c>
      <c r="F237" t="n">
        <v>1710.42</v>
      </c>
      <c r="G237" t="inlineStr">
        <is>
          <t>Customer Payment</t>
        </is>
      </c>
      <c r="H237" t="inlineStr">
        <is>
          <t>Cust_D</t>
        </is>
      </c>
      <c r="I237" t="inlineStr">
        <is>
          <t>2024-05</t>
        </is>
      </c>
    </row>
    <row r="238">
      <c r="A238" t="n">
        <v>237</v>
      </c>
      <c r="B238" s="13" t="n">
        <v>45431</v>
      </c>
      <c r="C238" t="inlineStr">
        <is>
          <t>EUR_Operating</t>
        </is>
      </c>
      <c r="D238" t="inlineStr">
        <is>
          <t>EUR</t>
        </is>
      </c>
      <c r="E238" t="inlineStr">
        <is>
          <t>credit</t>
        </is>
      </c>
      <c r="F238" t="n">
        <v>16045.17</v>
      </c>
      <c r="G238" t="inlineStr">
        <is>
          <t>Customer Payment</t>
        </is>
      </c>
      <c r="H238" t="inlineStr">
        <is>
          <t>Cust_B</t>
        </is>
      </c>
      <c r="I238" t="inlineStr">
        <is>
          <t>2024-05</t>
        </is>
      </c>
    </row>
    <row r="239">
      <c r="A239" t="n">
        <v>238</v>
      </c>
      <c r="B239" s="13" t="n">
        <v>45431</v>
      </c>
      <c r="C239" t="inlineStr">
        <is>
          <t>EUR_Operating</t>
        </is>
      </c>
      <c r="D239" t="inlineStr">
        <is>
          <t>EUR</t>
        </is>
      </c>
      <c r="E239" t="inlineStr">
        <is>
          <t>debit</t>
        </is>
      </c>
      <c r="F239" t="n">
        <v>7851.07</v>
      </c>
      <c r="G239" t="inlineStr">
        <is>
          <t>Supplier Payment</t>
        </is>
      </c>
      <c r="H239" t="inlineStr">
        <is>
          <t>Vend_C</t>
        </is>
      </c>
      <c r="I239" t="inlineStr">
        <is>
          <t>2024-05</t>
        </is>
      </c>
    </row>
    <row r="240">
      <c r="A240" t="n">
        <v>239</v>
      </c>
      <c r="B240" s="13" t="n">
        <v>45432</v>
      </c>
      <c r="C240" t="inlineStr">
        <is>
          <t>EUR_Operating</t>
        </is>
      </c>
      <c r="D240" t="inlineStr">
        <is>
          <t>EUR</t>
        </is>
      </c>
      <c r="E240" t="inlineStr">
        <is>
          <t>debit</t>
        </is>
      </c>
      <c r="F240" t="n">
        <v>874.77</v>
      </c>
      <c r="G240" t="inlineStr">
        <is>
          <t>Supplier Payment</t>
        </is>
      </c>
      <c r="H240" t="inlineStr">
        <is>
          <t>Vend_A</t>
        </is>
      </c>
      <c r="I240" t="inlineStr">
        <is>
          <t>2024-05</t>
        </is>
      </c>
    </row>
    <row r="241">
      <c r="A241" t="n">
        <v>240</v>
      </c>
      <c r="B241" s="13" t="n">
        <v>45433</v>
      </c>
      <c r="C241" t="inlineStr">
        <is>
          <t>EUR_Operating</t>
        </is>
      </c>
      <c r="D241" t="inlineStr">
        <is>
          <t>EUR</t>
        </is>
      </c>
      <c r="E241" t="inlineStr">
        <is>
          <t>credit</t>
        </is>
      </c>
      <c r="F241" t="n">
        <v>9902.27</v>
      </c>
      <c r="G241" t="inlineStr">
        <is>
          <t>Customer Payment</t>
        </is>
      </c>
      <c r="H241" t="inlineStr">
        <is>
          <t>Cust_A</t>
        </is>
      </c>
      <c r="I241" t="inlineStr">
        <is>
          <t>2024-05</t>
        </is>
      </c>
    </row>
    <row r="242">
      <c r="A242" t="n">
        <v>241</v>
      </c>
      <c r="B242" s="13" t="n">
        <v>45433</v>
      </c>
      <c r="C242" t="inlineStr">
        <is>
          <t>EUR_Operating</t>
        </is>
      </c>
      <c r="D242" t="inlineStr">
        <is>
          <t>EUR</t>
        </is>
      </c>
      <c r="E242" t="inlineStr">
        <is>
          <t>debit</t>
        </is>
      </c>
      <c r="F242" t="n">
        <v>2884.47</v>
      </c>
      <c r="G242" t="inlineStr">
        <is>
          <t>Supplier Payment</t>
        </is>
      </c>
      <c r="H242" t="inlineStr">
        <is>
          <t>Vend_B</t>
        </is>
      </c>
      <c r="I242" t="inlineStr">
        <is>
          <t>2024-05</t>
        </is>
      </c>
    </row>
    <row r="243">
      <c r="A243" t="n">
        <v>242</v>
      </c>
      <c r="B243" s="13" t="n">
        <v>45433</v>
      </c>
      <c r="C243" t="inlineStr">
        <is>
          <t>EUR_Operating</t>
        </is>
      </c>
      <c r="D243" t="inlineStr">
        <is>
          <t>EUR</t>
        </is>
      </c>
      <c r="E243" t="inlineStr">
        <is>
          <t>debit</t>
        </is>
      </c>
      <c r="F243" t="n">
        <v>6463.95</v>
      </c>
      <c r="G243" t="inlineStr">
        <is>
          <t>Supplier Payment</t>
        </is>
      </c>
      <c r="H243" t="inlineStr">
        <is>
          <t>Vend_A</t>
        </is>
      </c>
      <c r="I243" t="inlineStr">
        <is>
          <t>2024-05</t>
        </is>
      </c>
    </row>
    <row r="244">
      <c r="A244" t="n">
        <v>243</v>
      </c>
      <c r="B244" s="13" t="n">
        <v>45435</v>
      </c>
      <c r="C244" t="inlineStr">
        <is>
          <t>EUR_Operating</t>
        </is>
      </c>
      <c r="D244" t="inlineStr">
        <is>
          <t>EUR</t>
        </is>
      </c>
      <c r="E244" t="inlineStr">
        <is>
          <t>debit</t>
        </is>
      </c>
      <c r="F244" t="n">
        <v>3020.74</v>
      </c>
      <c r="G244" t="inlineStr">
        <is>
          <t>Supplier Payment</t>
        </is>
      </c>
      <c r="H244" t="inlineStr">
        <is>
          <t>Vend_C</t>
        </is>
      </c>
      <c r="I244" t="inlineStr">
        <is>
          <t>2024-05</t>
        </is>
      </c>
    </row>
    <row r="245">
      <c r="A245" t="n">
        <v>244</v>
      </c>
      <c r="B245" s="13" t="n">
        <v>45436</v>
      </c>
      <c r="C245" t="inlineStr">
        <is>
          <t>EUR_Operating</t>
        </is>
      </c>
      <c r="D245" t="inlineStr">
        <is>
          <t>EUR</t>
        </is>
      </c>
      <c r="E245" t="inlineStr">
        <is>
          <t>credit</t>
        </is>
      </c>
      <c r="F245" t="n">
        <v>1290.9</v>
      </c>
      <c r="G245" t="inlineStr">
        <is>
          <t>Customer Payment</t>
        </is>
      </c>
      <c r="H245" t="inlineStr">
        <is>
          <t>Cust_C</t>
        </is>
      </c>
      <c r="I245" t="inlineStr">
        <is>
          <t>2024-05</t>
        </is>
      </c>
    </row>
    <row r="246">
      <c r="A246" t="n">
        <v>245</v>
      </c>
      <c r="B246" s="13" t="n">
        <v>45437</v>
      </c>
      <c r="C246" t="inlineStr">
        <is>
          <t>EUR_Operating</t>
        </is>
      </c>
      <c r="D246" t="inlineStr">
        <is>
          <t>EUR</t>
        </is>
      </c>
      <c r="E246" t="inlineStr">
        <is>
          <t>credit</t>
        </is>
      </c>
      <c r="F246" t="n">
        <v>6407.32</v>
      </c>
      <c r="G246" t="inlineStr">
        <is>
          <t>Customer Payment</t>
        </is>
      </c>
      <c r="H246" t="inlineStr">
        <is>
          <t>Cust_C</t>
        </is>
      </c>
      <c r="I246" t="inlineStr">
        <is>
          <t>2024-05</t>
        </is>
      </c>
    </row>
    <row r="247">
      <c r="A247" t="n">
        <v>246</v>
      </c>
      <c r="B247" s="13" t="n">
        <v>45437</v>
      </c>
      <c r="C247" t="inlineStr">
        <is>
          <t>EUR_Operating</t>
        </is>
      </c>
      <c r="D247" t="inlineStr">
        <is>
          <t>EUR</t>
        </is>
      </c>
      <c r="E247" t="inlineStr">
        <is>
          <t>debit</t>
        </is>
      </c>
      <c r="F247" t="n">
        <v>4735.36</v>
      </c>
      <c r="G247" t="inlineStr">
        <is>
          <t>Supplier Payment</t>
        </is>
      </c>
      <c r="H247" t="inlineStr">
        <is>
          <t>Vend_B</t>
        </is>
      </c>
      <c r="I247" t="inlineStr">
        <is>
          <t>2024-05</t>
        </is>
      </c>
    </row>
    <row r="248">
      <c r="A248" t="n">
        <v>247</v>
      </c>
      <c r="B248" s="13" t="n">
        <v>45437</v>
      </c>
      <c r="C248" t="inlineStr">
        <is>
          <t>EUR_Payroll</t>
        </is>
      </c>
      <c r="D248" t="inlineStr">
        <is>
          <t>EUR</t>
        </is>
      </c>
      <c r="E248" t="inlineStr">
        <is>
          <t>debit</t>
        </is>
      </c>
      <c r="F248" t="n">
        <v>121055.02</v>
      </c>
      <c r="G248" t="inlineStr">
        <is>
          <t>Payroll</t>
        </is>
      </c>
      <c r="H248" t="inlineStr">
        <is>
          <t>Payroll</t>
        </is>
      </c>
      <c r="I248" t="inlineStr">
        <is>
          <t>2024-05</t>
        </is>
      </c>
    </row>
    <row r="249">
      <c r="A249" t="n">
        <v>248</v>
      </c>
      <c r="B249" s="13" t="n">
        <v>45437</v>
      </c>
      <c r="C249" t="inlineStr">
        <is>
          <t>EUR_Operating</t>
        </is>
      </c>
      <c r="D249" t="inlineStr">
        <is>
          <t>EUR</t>
        </is>
      </c>
      <c r="E249" t="inlineStr">
        <is>
          <t>debit</t>
        </is>
      </c>
      <c r="F249" t="n">
        <v>121055.02</v>
      </c>
      <c r="G249" t="inlineStr">
        <is>
          <t>Transfer to Payroll</t>
        </is>
      </c>
      <c r="H249" t="inlineStr">
        <is>
          <t>Payroll</t>
        </is>
      </c>
      <c r="I249" t="inlineStr">
        <is>
          <t>2024-05</t>
        </is>
      </c>
    </row>
    <row r="250">
      <c r="A250" t="n">
        <v>249</v>
      </c>
      <c r="B250" s="13" t="n">
        <v>45439</v>
      </c>
      <c r="C250" t="inlineStr">
        <is>
          <t>EUR_Operating</t>
        </is>
      </c>
      <c r="D250" t="inlineStr">
        <is>
          <t>EUR</t>
        </is>
      </c>
      <c r="E250" t="inlineStr">
        <is>
          <t>debit</t>
        </is>
      </c>
      <c r="F250" t="n">
        <v>5734.36</v>
      </c>
      <c r="G250" t="inlineStr">
        <is>
          <t>Supplier Payment</t>
        </is>
      </c>
      <c r="H250" t="inlineStr">
        <is>
          <t>Vend_B</t>
        </is>
      </c>
      <c r="I250" t="inlineStr">
        <is>
          <t>2024-05</t>
        </is>
      </c>
    </row>
    <row r="251">
      <c r="A251" t="n">
        <v>250</v>
      </c>
      <c r="B251" s="13" t="n">
        <v>45440</v>
      </c>
      <c r="C251" t="inlineStr">
        <is>
          <t>EUR_Operating</t>
        </is>
      </c>
      <c r="D251" t="inlineStr">
        <is>
          <t>EUR</t>
        </is>
      </c>
      <c r="E251" t="inlineStr">
        <is>
          <t>debit</t>
        </is>
      </c>
      <c r="F251" t="n">
        <v>3606.94</v>
      </c>
      <c r="G251" t="inlineStr">
        <is>
          <t>Supplier Payment</t>
        </is>
      </c>
      <c r="H251" t="inlineStr">
        <is>
          <t>Vend_A</t>
        </is>
      </c>
      <c r="I251" t="inlineStr">
        <is>
          <t>2024-05</t>
        </is>
      </c>
    </row>
    <row r="252">
      <c r="A252" t="n">
        <v>251</v>
      </c>
      <c r="B252" s="13" t="n">
        <v>45441</v>
      </c>
      <c r="C252" t="inlineStr">
        <is>
          <t>EUR_Operating</t>
        </is>
      </c>
      <c r="D252" t="inlineStr">
        <is>
          <t>EUR</t>
        </is>
      </c>
      <c r="E252" t="inlineStr">
        <is>
          <t>credit</t>
        </is>
      </c>
      <c r="F252" t="n">
        <v>1160.36</v>
      </c>
      <c r="G252" t="inlineStr">
        <is>
          <t>Customer Payment</t>
        </is>
      </c>
      <c r="H252" t="inlineStr">
        <is>
          <t>Cust_D</t>
        </is>
      </c>
      <c r="I252" t="inlineStr">
        <is>
          <t>2024-05</t>
        </is>
      </c>
    </row>
    <row r="253">
      <c r="A253" t="n">
        <v>252</v>
      </c>
      <c r="B253" s="13" t="n">
        <v>45442</v>
      </c>
      <c r="C253" t="inlineStr">
        <is>
          <t>EUR_Operating</t>
        </is>
      </c>
      <c r="D253" t="inlineStr">
        <is>
          <t>EUR</t>
        </is>
      </c>
      <c r="E253" t="inlineStr">
        <is>
          <t>credit</t>
        </is>
      </c>
      <c r="F253" t="n">
        <v>11239.95</v>
      </c>
      <c r="G253" t="inlineStr">
        <is>
          <t>Customer Payment</t>
        </is>
      </c>
      <c r="H253" t="inlineStr">
        <is>
          <t>Cust_B</t>
        </is>
      </c>
      <c r="I253" t="inlineStr">
        <is>
          <t>2024-05</t>
        </is>
      </c>
    </row>
    <row r="254">
      <c r="A254" t="n">
        <v>253</v>
      </c>
      <c r="B254" s="13" t="n">
        <v>45442</v>
      </c>
      <c r="C254" t="inlineStr">
        <is>
          <t>EUR_Operating</t>
        </is>
      </c>
      <c r="D254" t="inlineStr">
        <is>
          <t>EUR</t>
        </is>
      </c>
      <c r="E254" t="inlineStr">
        <is>
          <t>debit</t>
        </is>
      </c>
      <c r="F254" t="n">
        <v>1893.02</v>
      </c>
      <c r="G254" t="inlineStr">
        <is>
          <t>Supplier Payment</t>
        </is>
      </c>
      <c r="H254" t="inlineStr">
        <is>
          <t>Vend_B</t>
        </is>
      </c>
      <c r="I254" t="inlineStr">
        <is>
          <t>2024-05</t>
        </is>
      </c>
    </row>
    <row r="255">
      <c r="A255" t="n">
        <v>254</v>
      </c>
      <c r="B255" s="13" t="n">
        <v>45442</v>
      </c>
      <c r="C255" t="inlineStr">
        <is>
          <t>EUR_Operating</t>
        </is>
      </c>
      <c r="D255" t="inlineStr">
        <is>
          <t>EUR</t>
        </is>
      </c>
      <c r="E255" t="inlineStr">
        <is>
          <t>debit</t>
        </is>
      </c>
      <c r="F255" t="n">
        <v>5139.08</v>
      </c>
      <c r="G255" t="inlineStr">
        <is>
          <t>Supplier Payment</t>
        </is>
      </c>
      <c r="H255" t="inlineStr">
        <is>
          <t>Vend_C</t>
        </is>
      </c>
      <c r="I255" t="inlineStr">
        <is>
          <t>2024-05</t>
        </is>
      </c>
    </row>
    <row r="256">
      <c r="A256" t="n">
        <v>255</v>
      </c>
      <c r="B256" s="13" t="n">
        <v>45443</v>
      </c>
      <c r="C256" t="inlineStr">
        <is>
          <t>EUR_Operating</t>
        </is>
      </c>
      <c r="D256" t="inlineStr">
        <is>
          <t>EUR</t>
        </is>
      </c>
      <c r="E256" t="inlineStr">
        <is>
          <t>credit</t>
        </is>
      </c>
      <c r="F256" t="n">
        <v>1702.93</v>
      </c>
      <c r="G256" t="inlineStr">
        <is>
          <t>Customer Payment</t>
        </is>
      </c>
      <c r="H256" t="inlineStr">
        <is>
          <t>Cust_A</t>
        </is>
      </c>
      <c r="I256" t="inlineStr">
        <is>
          <t>2024-05</t>
        </is>
      </c>
    </row>
    <row r="257">
      <c r="A257" t="n">
        <v>256</v>
      </c>
      <c r="B257" s="13" t="n">
        <v>45443</v>
      </c>
      <c r="C257" t="inlineStr">
        <is>
          <t>EUR_Operating</t>
        </is>
      </c>
      <c r="D257" t="inlineStr">
        <is>
          <t>EUR</t>
        </is>
      </c>
      <c r="E257" t="inlineStr">
        <is>
          <t>credit</t>
        </is>
      </c>
      <c r="F257" t="n">
        <v>4913.82</v>
      </c>
      <c r="G257" t="inlineStr">
        <is>
          <t>Customer Payment</t>
        </is>
      </c>
      <c r="H257" t="inlineStr">
        <is>
          <t>Cust_D</t>
        </is>
      </c>
      <c r="I257" t="inlineStr">
        <is>
          <t>2024-05</t>
        </is>
      </c>
    </row>
    <row r="258">
      <c r="A258" t="n">
        <v>257</v>
      </c>
      <c r="B258" s="13" t="n">
        <v>45443</v>
      </c>
      <c r="C258" t="inlineStr">
        <is>
          <t>EUR_Operating</t>
        </is>
      </c>
      <c r="D258" t="inlineStr">
        <is>
          <t>EUR</t>
        </is>
      </c>
      <c r="E258" t="inlineStr">
        <is>
          <t>debit</t>
        </is>
      </c>
      <c r="F258" t="n">
        <v>6724.59</v>
      </c>
      <c r="G258" t="inlineStr">
        <is>
          <t>Supplier Payment</t>
        </is>
      </c>
      <c r="H258" t="inlineStr">
        <is>
          <t>Vend_B</t>
        </is>
      </c>
      <c r="I258" t="inlineStr">
        <is>
          <t>2024-05</t>
        </is>
      </c>
    </row>
    <row r="259">
      <c r="A259" t="n">
        <v>258</v>
      </c>
      <c r="B259" s="13" t="n">
        <v>45443</v>
      </c>
      <c r="C259" t="inlineStr">
        <is>
          <t>EUR_Operating</t>
        </is>
      </c>
      <c r="D259" t="inlineStr">
        <is>
          <t>EUR</t>
        </is>
      </c>
      <c r="E259" t="inlineStr">
        <is>
          <t>debit</t>
        </is>
      </c>
      <c r="F259" t="n">
        <v>10301.92</v>
      </c>
      <c r="G259" t="inlineStr">
        <is>
          <t>Supplier Payment</t>
        </is>
      </c>
      <c r="H259" t="inlineStr">
        <is>
          <t>Vend_A</t>
        </is>
      </c>
      <c r="I259" t="inlineStr">
        <is>
          <t>2024-05</t>
        </is>
      </c>
    </row>
    <row r="260">
      <c r="A260" t="n">
        <v>259</v>
      </c>
      <c r="B260" s="13" t="n">
        <v>45444</v>
      </c>
      <c r="C260" t="inlineStr">
        <is>
          <t>EUR_Operating</t>
        </is>
      </c>
      <c r="D260" t="inlineStr">
        <is>
          <t>EUR</t>
        </is>
      </c>
      <c r="E260" t="inlineStr">
        <is>
          <t>credit</t>
        </is>
      </c>
      <c r="F260" t="n">
        <v>12451.88</v>
      </c>
      <c r="G260" t="inlineStr">
        <is>
          <t>Customer Payment</t>
        </is>
      </c>
      <c r="H260" t="inlineStr">
        <is>
          <t>Cust_A</t>
        </is>
      </c>
      <c r="I260" t="inlineStr">
        <is>
          <t>2024-06</t>
        </is>
      </c>
    </row>
    <row r="261">
      <c r="A261" t="n">
        <v>260</v>
      </c>
      <c r="B261" s="13" t="n">
        <v>45444</v>
      </c>
      <c r="C261" t="inlineStr">
        <is>
          <t>EUR_Operating</t>
        </is>
      </c>
      <c r="D261" t="inlineStr">
        <is>
          <t>EUR</t>
        </is>
      </c>
      <c r="E261" t="inlineStr">
        <is>
          <t>debit</t>
        </is>
      </c>
      <c r="F261" t="n">
        <v>32855</v>
      </c>
      <c r="G261" t="inlineStr">
        <is>
          <t>Loan Interest</t>
        </is>
      </c>
      <c r="H261" t="inlineStr">
        <is>
          <t>Bank Loan</t>
        </is>
      </c>
      <c r="I261" t="inlineStr">
        <is>
          <t>2024-06</t>
        </is>
      </c>
    </row>
    <row r="262">
      <c r="A262" t="n">
        <v>261</v>
      </c>
      <c r="B262" s="13" t="n">
        <v>45445</v>
      </c>
      <c r="C262" t="inlineStr">
        <is>
          <t>EUR_Operating</t>
        </is>
      </c>
      <c r="D262" t="inlineStr">
        <is>
          <t>EUR</t>
        </is>
      </c>
      <c r="E262" t="inlineStr">
        <is>
          <t>credit</t>
        </is>
      </c>
      <c r="F262" t="n">
        <v>3009.14</v>
      </c>
      <c r="G262" t="inlineStr">
        <is>
          <t>Customer Payment</t>
        </is>
      </c>
      <c r="H262" t="inlineStr">
        <is>
          <t>Cust_C</t>
        </is>
      </c>
      <c r="I262" t="inlineStr">
        <is>
          <t>2024-06</t>
        </is>
      </c>
    </row>
    <row r="263">
      <c r="A263" t="n">
        <v>262</v>
      </c>
      <c r="B263" s="13" t="n">
        <v>45445</v>
      </c>
      <c r="C263" t="inlineStr">
        <is>
          <t>EUR_Operating</t>
        </is>
      </c>
      <c r="D263" t="inlineStr">
        <is>
          <t>EUR</t>
        </is>
      </c>
      <c r="E263" t="inlineStr">
        <is>
          <t>credit</t>
        </is>
      </c>
      <c r="F263" t="n">
        <v>6017.23</v>
      </c>
      <c r="G263" t="inlineStr">
        <is>
          <t>Customer Payment</t>
        </is>
      </c>
      <c r="H263" t="inlineStr">
        <is>
          <t>Cust_B</t>
        </is>
      </c>
      <c r="I263" t="inlineStr">
        <is>
          <t>2024-06</t>
        </is>
      </c>
    </row>
    <row r="264">
      <c r="A264" t="n">
        <v>263</v>
      </c>
      <c r="B264" s="13" t="n">
        <v>45446</v>
      </c>
      <c r="C264" t="inlineStr">
        <is>
          <t>EUR_Operating</t>
        </is>
      </c>
      <c r="D264" t="inlineStr">
        <is>
          <t>EUR</t>
        </is>
      </c>
      <c r="E264" t="inlineStr">
        <is>
          <t>credit</t>
        </is>
      </c>
      <c r="F264" t="n">
        <v>8924.33</v>
      </c>
      <c r="G264" t="inlineStr">
        <is>
          <t>Customer Payment</t>
        </is>
      </c>
      <c r="H264" t="inlineStr">
        <is>
          <t>Cust_A</t>
        </is>
      </c>
      <c r="I264" t="inlineStr">
        <is>
          <t>2024-06</t>
        </is>
      </c>
    </row>
    <row r="265">
      <c r="A265" t="n">
        <v>264</v>
      </c>
      <c r="B265" s="13" t="n">
        <v>45446</v>
      </c>
      <c r="C265" t="inlineStr">
        <is>
          <t>USD_Sales</t>
        </is>
      </c>
      <c r="D265" t="inlineStr">
        <is>
          <t>USD</t>
        </is>
      </c>
      <c r="E265" t="inlineStr">
        <is>
          <t>credit</t>
        </is>
      </c>
      <c r="F265" t="n">
        <v>7089.17</v>
      </c>
      <c r="G265" t="inlineStr">
        <is>
          <t>Customer Payment</t>
        </is>
      </c>
      <c r="H265" t="inlineStr">
        <is>
          <t>Cust_D</t>
        </is>
      </c>
      <c r="I265" t="inlineStr">
        <is>
          <t>2024-06</t>
        </is>
      </c>
    </row>
    <row r="266">
      <c r="A266" t="n">
        <v>265</v>
      </c>
      <c r="B266" s="13" t="n">
        <v>45446</v>
      </c>
      <c r="C266" t="inlineStr">
        <is>
          <t>EUR_Operating</t>
        </is>
      </c>
      <c r="D266" t="inlineStr">
        <is>
          <t>EUR</t>
        </is>
      </c>
      <c r="E266" t="inlineStr">
        <is>
          <t>credit</t>
        </is>
      </c>
      <c r="F266" t="n">
        <v>7566.54</v>
      </c>
      <c r="G266" t="inlineStr">
        <is>
          <t>Customer Payment</t>
        </is>
      </c>
      <c r="H266" t="inlineStr">
        <is>
          <t>Cust_B</t>
        </is>
      </c>
      <c r="I266" t="inlineStr">
        <is>
          <t>2024-06</t>
        </is>
      </c>
    </row>
    <row r="267">
      <c r="A267" t="n">
        <v>266</v>
      </c>
      <c r="B267" s="13" t="n">
        <v>45448</v>
      </c>
      <c r="C267" t="inlineStr">
        <is>
          <t>EUR_Operating</t>
        </is>
      </c>
      <c r="D267" t="inlineStr">
        <is>
          <t>EUR</t>
        </is>
      </c>
      <c r="E267" t="inlineStr">
        <is>
          <t>credit</t>
        </is>
      </c>
      <c r="F267" t="n">
        <v>2272.19</v>
      </c>
      <c r="G267" t="inlineStr">
        <is>
          <t>Customer Payment</t>
        </is>
      </c>
      <c r="H267" t="inlineStr">
        <is>
          <t>Cust_C</t>
        </is>
      </c>
      <c r="I267" t="inlineStr">
        <is>
          <t>2024-06</t>
        </is>
      </c>
    </row>
    <row r="268">
      <c r="A268" t="n">
        <v>267</v>
      </c>
      <c r="B268" s="13" t="n">
        <v>45448</v>
      </c>
      <c r="C268" t="inlineStr">
        <is>
          <t>EUR_Operating</t>
        </is>
      </c>
      <c r="D268" t="inlineStr">
        <is>
          <t>EUR</t>
        </is>
      </c>
      <c r="E268" t="inlineStr">
        <is>
          <t>credit</t>
        </is>
      </c>
      <c r="F268" t="n">
        <v>7027.58</v>
      </c>
      <c r="G268" t="inlineStr">
        <is>
          <t>Customer Payment</t>
        </is>
      </c>
      <c r="H268" t="inlineStr">
        <is>
          <t>Cust_A</t>
        </is>
      </c>
      <c r="I268" t="inlineStr">
        <is>
          <t>2024-06</t>
        </is>
      </c>
    </row>
    <row r="269">
      <c r="A269" t="n">
        <v>268</v>
      </c>
      <c r="B269" s="13" t="n">
        <v>45448</v>
      </c>
      <c r="C269" t="inlineStr">
        <is>
          <t>EUR_Operating</t>
        </is>
      </c>
      <c r="D269" t="inlineStr">
        <is>
          <t>EUR</t>
        </is>
      </c>
      <c r="E269" t="inlineStr">
        <is>
          <t>credit</t>
        </is>
      </c>
      <c r="F269" t="n">
        <v>8708.16</v>
      </c>
      <c r="G269" t="inlineStr">
        <is>
          <t>Customer Payment</t>
        </is>
      </c>
      <c r="H269" t="inlineStr">
        <is>
          <t>Cust_B</t>
        </is>
      </c>
      <c r="I269" t="inlineStr">
        <is>
          <t>2024-06</t>
        </is>
      </c>
    </row>
    <row r="270">
      <c r="A270" t="n">
        <v>269</v>
      </c>
      <c r="B270" s="13" t="n">
        <v>45448</v>
      </c>
      <c r="C270" t="inlineStr">
        <is>
          <t>EUR_Operating</t>
        </is>
      </c>
      <c r="D270" t="inlineStr">
        <is>
          <t>EUR</t>
        </is>
      </c>
      <c r="E270" t="inlineStr">
        <is>
          <t>debit</t>
        </is>
      </c>
      <c r="F270" t="n">
        <v>578.99</v>
      </c>
      <c r="G270" t="inlineStr">
        <is>
          <t>Supplier Payment</t>
        </is>
      </c>
      <c r="H270" t="inlineStr">
        <is>
          <t>Vend_C</t>
        </is>
      </c>
      <c r="I270" t="inlineStr">
        <is>
          <t>2024-06</t>
        </is>
      </c>
    </row>
    <row r="271">
      <c r="A271" t="n">
        <v>270</v>
      </c>
      <c r="B271" s="13" t="n">
        <v>45449</v>
      </c>
      <c r="C271" t="inlineStr">
        <is>
          <t>EUR_Operating</t>
        </is>
      </c>
      <c r="D271" t="inlineStr">
        <is>
          <t>EUR</t>
        </is>
      </c>
      <c r="E271" t="inlineStr">
        <is>
          <t>credit</t>
        </is>
      </c>
      <c r="F271" t="n">
        <v>11895.38</v>
      </c>
      <c r="G271" t="inlineStr">
        <is>
          <t>Customer Payment</t>
        </is>
      </c>
      <c r="H271" t="inlineStr">
        <is>
          <t>Cust_B</t>
        </is>
      </c>
      <c r="I271" t="inlineStr">
        <is>
          <t>2024-06</t>
        </is>
      </c>
    </row>
    <row r="272">
      <c r="A272" t="n">
        <v>271</v>
      </c>
      <c r="B272" s="13" t="n">
        <v>45449</v>
      </c>
      <c r="C272" t="inlineStr">
        <is>
          <t>EUR_Operating</t>
        </is>
      </c>
      <c r="D272" t="inlineStr">
        <is>
          <t>EUR</t>
        </is>
      </c>
      <c r="E272" t="inlineStr">
        <is>
          <t>credit</t>
        </is>
      </c>
      <c r="F272" t="n">
        <v>1978.69</v>
      </c>
      <c r="G272" t="inlineStr">
        <is>
          <t>Customer Payment</t>
        </is>
      </c>
      <c r="H272" t="inlineStr">
        <is>
          <t>Cust_C</t>
        </is>
      </c>
      <c r="I272" t="inlineStr">
        <is>
          <t>2024-06</t>
        </is>
      </c>
    </row>
    <row r="273">
      <c r="A273" t="n">
        <v>272</v>
      </c>
      <c r="B273" s="13" t="n">
        <v>45451</v>
      </c>
      <c r="C273" t="inlineStr">
        <is>
          <t>EUR_Operating</t>
        </is>
      </c>
      <c r="D273" t="inlineStr">
        <is>
          <t>EUR</t>
        </is>
      </c>
      <c r="E273" t="inlineStr">
        <is>
          <t>credit</t>
        </is>
      </c>
      <c r="F273" t="n">
        <v>20123.32</v>
      </c>
      <c r="G273" t="inlineStr">
        <is>
          <t>Customer Payment</t>
        </is>
      </c>
      <c r="H273" t="inlineStr">
        <is>
          <t>Cust_B</t>
        </is>
      </c>
      <c r="I273" t="inlineStr">
        <is>
          <t>2024-06</t>
        </is>
      </c>
    </row>
    <row r="274">
      <c r="A274" t="n">
        <v>273</v>
      </c>
      <c r="B274" s="13" t="n">
        <v>45451</v>
      </c>
      <c r="C274" t="inlineStr">
        <is>
          <t>JPY_Sales</t>
        </is>
      </c>
      <c r="D274" t="inlineStr">
        <is>
          <t>JPY</t>
        </is>
      </c>
      <c r="E274" t="inlineStr">
        <is>
          <t>debit</t>
        </is>
      </c>
      <c r="F274" t="n">
        <v>4394.66</v>
      </c>
      <c r="G274" t="inlineStr">
        <is>
          <t>Supplier Payment</t>
        </is>
      </c>
      <c r="H274" t="inlineStr">
        <is>
          <t>Vend_C</t>
        </is>
      </c>
      <c r="I274" t="inlineStr">
        <is>
          <t>2024-06</t>
        </is>
      </c>
    </row>
    <row r="275">
      <c r="A275" t="n">
        <v>274</v>
      </c>
      <c r="B275" s="13" t="n">
        <v>45451</v>
      </c>
      <c r="C275" t="inlineStr">
        <is>
          <t>EUR_Operating</t>
        </is>
      </c>
      <c r="D275" t="inlineStr">
        <is>
          <t>EUR</t>
        </is>
      </c>
      <c r="E275" t="inlineStr">
        <is>
          <t>debit</t>
        </is>
      </c>
      <c r="F275" t="n">
        <v>1242.2</v>
      </c>
      <c r="G275" t="inlineStr">
        <is>
          <t>Supplier Payment</t>
        </is>
      </c>
      <c r="H275" t="inlineStr">
        <is>
          <t>Vend_B</t>
        </is>
      </c>
      <c r="I275" t="inlineStr">
        <is>
          <t>2024-06</t>
        </is>
      </c>
    </row>
    <row r="276">
      <c r="A276" t="n">
        <v>275</v>
      </c>
      <c r="B276" s="13" t="n">
        <v>45451</v>
      </c>
      <c r="C276" t="inlineStr">
        <is>
          <t>EUR_Operating</t>
        </is>
      </c>
      <c r="D276" t="inlineStr">
        <is>
          <t>EUR</t>
        </is>
      </c>
      <c r="E276" t="inlineStr">
        <is>
          <t>debit</t>
        </is>
      </c>
      <c r="F276" t="n">
        <v>16242.55</v>
      </c>
      <c r="G276" t="inlineStr">
        <is>
          <t>Supplier Payment</t>
        </is>
      </c>
      <c r="H276" t="inlineStr">
        <is>
          <t>Vend_B</t>
        </is>
      </c>
      <c r="I276" t="inlineStr">
        <is>
          <t>2024-06</t>
        </is>
      </c>
    </row>
    <row r="277">
      <c r="A277" t="n">
        <v>276</v>
      </c>
      <c r="B277" s="13" t="n">
        <v>45452</v>
      </c>
      <c r="C277" t="inlineStr">
        <is>
          <t>EUR_Operating</t>
        </is>
      </c>
      <c r="D277" t="inlineStr">
        <is>
          <t>EUR</t>
        </is>
      </c>
      <c r="E277" t="inlineStr">
        <is>
          <t>credit</t>
        </is>
      </c>
      <c r="F277" t="n">
        <v>13005.04</v>
      </c>
      <c r="G277" t="inlineStr">
        <is>
          <t>Customer Payment</t>
        </is>
      </c>
      <c r="H277" t="inlineStr">
        <is>
          <t>Cust_D</t>
        </is>
      </c>
      <c r="I277" t="inlineStr">
        <is>
          <t>2024-06</t>
        </is>
      </c>
    </row>
    <row r="278">
      <c r="A278" t="n">
        <v>277</v>
      </c>
      <c r="B278" s="13" t="n">
        <v>45453</v>
      </c>
      <c r="C278" t="inlineStr">
        <is>
          <t>EUR_Operating</t>
        </is>
      </c>
      <c r="D278" t="inlineStr">
        <is>
          <t>EUR</t>
        </is>
      </c>
      <c r="E278" t="inlineStr">
        <is>
          <t>credit</t>
        </is>
      </c>
      <c r="F278" t="n">
        <v>5940.4</v>
      </c>
      <c r="G278" t="inlineStr">
        <is>
          <t>Customer Payment</t>
        </is>
      </c>
      <c r="H278" t="inlineStr">
        <is>
          <t>Cust_B</t>
        </is>
      </c>
      <c r="I278" t="inlineStr">
        <is>
          <t>2024-06</t>
        </is>
      </c>
    </row>
    <row r="279">
      <c r="A279" t="n">
        <v>278</v>
      </c>
      <c r="B279" s="13" t="n">
        <v>45453</v>
      </c>
      <c r="C279" t="inlineStr">
        <is>
          <t>EUR_Operating</t>
        </is>
      </c>
      <c r="D279" t="inlineStr">
        <is>
          <t>EUR</t>
        </is>
      </c>
      <c r="E279" t="inlineStr">
        <is>
          <t>debit</t>
        </is>
      </c>
      <c r="F279" t="n">
        <v>137.41</v>
      </c>
      <c r="G279" t="inlineStr">
        <is>
          <t>Bank Fee</t>
        </is>
      </c>
      <c r="H279" t="inlineStr">
        <is>
          <t>Bank</t>
        </is>
      </c>
      <c r="I279" t="inlineStr">
        <is>
          <t>2024-06</t>
        </is>
      </c>
    </row>
    <row r="280">
      <c r="A280" t="n">
        <v>279</v>
      </c>
      <c r="B280" s="13" t="n">
        <v>45454</v>
      </c>
      <c r="C280" t="inlineStr">
        <is>
          <t>EUR_Operating</t>
        </is>
      </c>
      <c r="D280" t="inlineStr">
        <is>
          <t>EUR</t>
        </is>
      </c>
      <c r="E280" t="inlineStr">
        <is>
          <t>credit</t>
        </is>
      </c>
      <c r="F280" t="n">
        <v>8291.17</v>
      </c>
      <c r="G280" t="inlineStr">
        <is>
          <t>Customer Payment</t>
        </is>
      </c>
      <c r="H280" t="inlineStr">
        <is>
          <t>Cust_A</t>
        </is>
      </c>
      <c r="I280" t="inlineStr">
        <is>
          <t>2024-06</t>
        </is>
      </c>
    </row>
    <row r="281">
      <c r="A281" t="n">
        <v>280</v>
      </c>
      <c r="B281" s="13" t="n">
        <v>45454</v>
      </c>
      <c r="C281" t="inlineStr">
        <is>
          <t>EUR_Operating</t>
        </is>
      </c>
      <c r="D281" t="inlineStr">
        <is>
          <t>EUR</t>
        </is>
      </c>
      <c r="E281" t="inlineStr">
        <is>
          <t>debit</t>
        </is>
      </c>
      <c r="F281" t="n">
        <v>4449.7</v>
      </c>
      <c r="G281" t="inlineStr">
        <is>
          <t>Supplier Payment</t>
        </is>
      </c>
      <c r="H281" t="inlineStr">
        <is>
          <t>Vend_B</t>
        </is>
      </c>
      <c r="I281" t="inlineStr">
        <is>
          <t>2024-06</t>
        </is>
      </c>
    </row>
    <row r="282">
      <c r="A282" t="n">
        <v>281</v>
      </c>
      <c r="B282" s="13" t="n">
        <v>45457</v>
      </c>
      <c r="C282" t="inlineStr">
        <is>
          <t>EUR_Operating</t>
        </is>
      </c>
      <c r="D282" t="inlineStr">
        <is>
          <t>EUR</t>
        </is>
      </c>
      <c r="E282" t="inlineStr">
        <is>
          <t>credit</t>
        </is>
      </c>
      <c r="F282" t="n">
        <v>7966.25</v>
      </c>
      <c r="G282" t="inlineStr">
        <is>
          <t>Customer Payment</t>
        </is>
      </c>
      <c r="H282" t="inlineStr">
        <is>
          <t>Cust_A</t>
        </is>
      </c>
      <c r="I282" t="inlineStr">
        <is>
          <t>2024-06</t>
        </is>
      </c>
    </row>
    <row r="283">
      <c r="A283" t="n">
        <v>282</v>
      </c>
      <c r="B283" s="13" t="n">
        <v>45457</v>
      </c>
      <c r="C283" t="inlineStr">
        <is>
          <t>EUR_Operating</t>
        </is>
      </c>
      <c r="D283" t="inlineStr">
        <is>
          <t>EUR</t>
        </is>
      </c>
      <c r="E283" t="inlineStr">
        <is>
          <t>credit</t>
        </is>
      </c>
      <c r="F283" t="n">
        <v>1840.51</v>
      </c>
      <c r="G283" t="inlineStr">
        <is>
          <t>Customer Payment</t>
        </is>
      </c>
      <c r="H283" t="inlineStr">
        <is>
          <t>Cust_D</t>
        </is>
      </c>
      <c r="I283" t="inlineStr">
        <is>
          <t>2024-06</t>
        </is>
      </c>
    </row>
    <row r="284">
      <c r="A284" t="n">
        <v>283</v>
      </c>
      <c r="B284" s="13" t="n">
        <v>45457</v>
      </c>
      <c r="C284" t="inlineStr">
        <is>
          <t>EUR_Operating</t>
        </is>
      </c>
      <c r="D284" t="inlineStr">
        <is>
          <t>EUR</t>
        </is>
      </c>
      <c r="E284" t="inlineStr">
        <is>
          <t>credit</t>
        </is>
      </c>
      <c r="F284" t="n">
        <v>3370.93</v>
      </c>
      <c r="G284" t="inlineStr">
        <is>
          <t>Customer Payment</t>
        </is>
      </c>
      <c r="H284" t="inlineStr">
        <is>
          <t>Cust_C</t>
        </is>
      </c>
      <c r="I284" t="inlineStr">
        <is>
          <t>2024-06</t>
        </is>
      </c>
    </row>
    <row r="285">
      <c r="A285" t="n">
        <v>284</v>
      </c>
      <c r="B285" s="13" t="n">
        <v>45457</v>
      </c>
      <c r="C285" t="inlineStr">
        <is>
          <t>EUR_Operating</t>
        </is>
      </c>
      <c r="D285" t="inlineStr">
        <is>
          <t>EUR</t>
        </is>
      </c>
      <c r="E285" t="inlineStr">
        <is>
          <t>debit</t>
        </is>
      </c>
      <c r="F285" t="n">
        <v>13614.94</v>
      </c>
      <c r="G285" t="inlineStr">
        <is>
          <t>Supplier Payment</t>
        </is>
      </c>
      <c r="H285" t="inlineStr">
        <is>
          <t>Vend_B</t>
        </is>
      </c>
      <c r="I285" t="inlineStr">
        <is>
          <t>2024-06</t>
        </is>
      </c>
    </row>
    <row r="286">
      <c r="A286" t="n">
        <v>285</v>
      </c>
      <c r="B286" s="13" t="n">
        <v>45457</v>
      </c>
      <c r="C286" t="inlineStr">
        <is>
          <t>EUR_Operating</t>
        </is>
      </c>
      <c r="D286" t="inlineStr">
        <is>
          <t>EUR</t>
        </is>
      </c>
      <c r="E286" t="inlineStr">
        <is>
          <t>debit</t>
        </is>
      </c>
      <c r="F286" t="n">
        <v>7539.9</v>
      </c>
      <c r="G286" t="inlineStr">
        <is>
          <t>Supplier Payment</t>
        </is>
      </c>
      <c r="H286" t="inlineStr">
        <is>
          <t>Vend_A</t>
        </is>
      </c>
      <c r="I286" t="inlineStr">
        <is>
          <t>2024-06</t>
        </is>
      </c>
    </row>
    <row r="287">
      <c r="A287" t="n">
        <v>286</v>
      </c>
      <c r="B287" s="13" t="n">
        <v>45458</v>
      </c>
      <c r="C287" t="inlineStr">
        <is>
          <t>EUR_Operating</t>
        </is>
      </c>
      <c r="D287" t="inlineStr">
        <is>
          <t>EUR</t>
        </is>
      </c>
      <c r="E287" t="inlineStr">
        <is>
          <t>credit</t>
        </is>
      </c>
      <c r="F287" t="n">
        <v>4641.29</v>
      </c>
      <c r="G287" t="inlineStr">
        <is>
          <t>Customer Payment</t>
        </is>
      </c>
      <c r="H287" t="inlineStr">
        <is>
          <t>Cust_B</t>
        </is>
      </c>
      <c r="I287" t="inlineStr">
        <is>
          <t>2024-06</t>
        </is>
      </c>
    </row>
    <row r="288">
      <c r="A288" t="n">
        <v>287</v>
      </c>
      <c r="B288" s="13" t="n">
        <v>45458</v>
      </c>
      <c r="C288" t="inlineStr">
        <is>
          <t>EUR_Operating</t>
        </is>
      </c>
      <c r="D288" t="inlineStr">
        <is>
          <t>EUR</t>
        </is>
      </c>
      <c r="E288" t="inlineStr">
        <is>
          <t>debit</t>
        </is>
      </c>
      <c r="F288" t="n">
        <v>6977.71</v>
      </c>
      <c r="G288" t="inlineStr">
        <is>
          <t>Supplier Payment</t>
        </is>
      </c>
      <c r="H288" t="inlineStr">
        <is>
          <t>Vend_B</t>
        </is>
      </c>
      <c r="I288" t="inlineStr">
        <is>
          <t>2024-06</t>
        </is>
      </c>
    </row>
    <row r="289">
      <c r="A289" t="n">
        <v>288</v>
      </c>
      <c r="B289" s="13" t="n">
        <v>45458</v>
      </c>
      <c r="C289" t="inlineStr">
        <is>
          <t>JPY_Sales</t>
        </is>
      </c>
      <c r="D289" t="inlineStr">
        <is>
          <t>JPY</t>
        </is>
      </c>
      <c r="E289" t="inlineStr">
        <is>
          <t>debit</t>
        </is>
      </c>
      <c r="F289" t="n">
        <v>4013.72</v>
      </c>
      <c r="G289" t="inlineStr">
        <is>
          <t>Supplier Payment</t>
        </is>
      </c>
      <c r="H289" t="inlineStr">
        <is>
          <t>Vend_A</t>
        </is>
      </c>
      <c r="I289" t="inlineStr">
        <is>
          <t>2024-06</t>
        </is>
      </c>
    </row>
    <row r="290">
      <c r="A290" t="n">
        <v>289</v>
      </c>
      <c r="B290" s="13" t="n">
        <v>45459</v>
      </c>
      <c r="C290" t="inlineStr">
        <is>
          <t>EUR_Operating</t>
        </is>
      </c>
      <c r="D290" t="inlineStr">
        <is>
          <t>EUR</t>
        </is>
      </c>
      <c r="E290" t="inlineStr">
        <is>
          <t>debit</t>
        </is>
      </c>
      <c r="F290" t="n">
        <v>3360.67</v>
      </c>
      <c r="G290" t="inlineStr">
        <is>
          <t>Supplier Payment</t>
        </is>
      </c>
      <c r="H290" t="inlineStr">
        <is>
          <t>Vend_A</t>
        </is>
      </c>
      <c r="I290" t="inlineStr">
        <is>
          <t>2024-06</t>
        </is>
      </c>
    </row>
    <row r="291">
      <c r="A291" t="n">
        <v>290</v>
      </c>
      <c r="B291" s="13" t="n">
        <v>45459</v>
      </c>
      <c r="C291" t="inlineStr">
        <is>
          <t>EUR_Operating</t>
        </is>
      </c>
      <c r="D291" t="inlineStr">
        <is>
          <t>EUR</t>
        </is>
      </c>
      <c r="E291" t="inlineStr">
        <is>
          <t>debit</t>
        </is>
      </c>
      <c r="F291" t="n">
        <v>6150.07</v>
      </c>
      <c r="G291" t="inlineStr">
        <is>
          <t>Supplier Payment</t>
        </is>
      </c>
      <c r="H291" t="inlineStr">
        <is>
          <t>Vend_A</t>
        </is>
      </c>
      <c r="I291" t="inlineStr">
        <is>
          <t>2024-06</t>
        </is>
      </c>
    </row>
    <row r="292">
      <c r="A292" t="n">
        <v>291</v>
      </c>
      <c r="B292" s="13" t="n">
        <v>45460</v>
      </c>
      <c r="C292" t="inlineStr">
        <is>
          <t>EUR_Operating</t>
        </is>
      </c>
      <c r="D292" t="inlineStr">
        <is>
          <t>EUR</t>
        </is>
      </c>
      <c r="E292" t="inlineStr">
        <is>
          <t>debit</t>
        </is>
      </c>
      <c r="F292" t="n">
        <v>7279.08</v>
      </c>
      <c r="G292" t="inlineStr">
        <is>
          <t>Supplier Payment</t>
        </is>
      </c>
      <c r="H292" t="inlineStr">
        <is>
          <t>Vend_B</t>
        </is>
      </c>
      <c r="I292" t="inlineStr">
        <is>
          <t>2024-06</t>
        </is>
      </c>
    </row>
    <row r="293">
      <c r="A293" t="n">
        <v>292</v>
      </c>
      <c r="B293" s="13" t="n">
        <v>45461</v>
      </c>
      <c r="C293" t="inlineStr">
        <is>
          <t>EUR_Operating</t>
        </is>
      </c>
      <c r="D293" t="inlineStr">
        <is>
          <t>EUR</t>
        </is>
      </c>
      <c r="E293" t="inlineStr">
        <is>
          <t>credit</t>
        </is>
      </c>
      <c r="F293" t="n">
        <v>19720.79</v>
      </c>
      <c r="G293" t="inlineStr">
        <is>
          <t>Customer Payment</t>
        </is>
      </c>
      <c r="H293" t="inlineStr">
        <is>
          <t>Cust_C</t>
        </is>
      </c>
      <c r="I293" t="inlineStr">
        <is>
          <t>2024-06</t>
        </is>
      </c>
    </row>
    <row r="294">
      <c r="A294" t="n">
        <v>293</v>
      </c>
      <c r="B294" s="13" t="n">
        <v>45461</v>
      </c>
      <c r="C294" t="inlineStr">
        <is>
          <t>USD_Sales</t>
        </is>
      </c>
      <c r="D294" t="inlineStr">
        <is>
          <t>USD</t>
        </is>
      </c>
      <c r="E294" t="inlineStr">
        <is>
          <t>credit</t>
        </is>
      </c>
      <c r="F294" t="n">
        <v>9925.379999999999</v>
      </c>
      <c r="G294" t="inlineStr">
        <is>
          <t>Customer Payment</t>
        </is>
      </c>
      <c r="H294" t="inlineStr">
        <is>
          <t>Cust_C</t>
        </is>
      </c>
      <c r="I294" t="inlineStr">
        <is>
          <t>2024-06</t>
        </is>
      </c>
    </row>
    <row r="295">
      <c r="A295" t="n">
        <v>294</v>
      </c>
      <c r="B295" s="13" t="n">
        <v>45462</v>
      </c>
      <c r="C295" t="inlineStr">
        <is>
          <t>EUR_Operating</t>
        </is>
      </c>
      <c r="D295" t="inlineStr">
        <is>
          <t>EUR</t>
        </is>
      </c>
      <c r="E295" t="inlineStr">
        <is>
          <t>debit</t>
        </is>
      </c>
      <c r="F295" t="n">
        <v>5086.28</v>
      </c>
      <c r="G295" t="inlineStr">
        <is>
          <t>Supplier Payment</t>
        </is>
      </c>
      <c r="H295" t="inlineStr">
        <is>
          <t>Vend_C</t>
        </is>
      </c>
      <c r="I295" t="inlineStr">
        <is>
          <t>2024-06</t>
        </is>
      </c>
    </row>
    <row r="296">
      <c r="A296" t="n">
        <v>295</v>
      </c>
      <c r="B296" s="13" t="n">
        <v>45462</v>
      </c>
      <c r="C296" t="inlineStr">
        <is>
          <t>EUR_Operating</t>
        </is>
      </c>
      <c r="D296" t="inlineStr">
        <is>
          <t>EUR</t>
        </is>
      </c>
      <c r="E296" t="inlineStr">
        <is>
          <t>debit</t>
        </is>
      </c>
      <c r="F296" t="n">
        <v>421.22</v>
      </c>
      <c r="G296" t="inlineStr">
        <is>
          <t>Supplier Payment</t>
        </is>
      </c>
      <c r="H296" t="inlineStr">
        <is>
          <t>Vend_B</t>
        </is>
      </c>
      <c r="I296" t="inlineStr">
        <is>
          <t>2024-06</t>
        </is>
      </c>
    </row>
    <row r="297">
      <c r="A297" t="n">
        <v>296</v>
      </c>
      <c r="B297" s="13" t="n">
        <v>45462</v>
      </c>
      <c r="C297" t="inlineStr">
        <is>
          <t>EUR_Operating</t>
        </is>
      </c>
      <c r="D297" t="inlineStr">
        <is>
          <t>EUR</t>
        </is>
      </c>
      <c r="E297" t="inlineStr">
        <is>
          <t>debit</t>
        </is>
      </c>
      <c r="F297" t="n">
        <v>10301.92</v>
      </c>
      <c r="G297" t="inlineStr">
        <is>
          <t>Supplier Payment</t>
        </is>
      </c>
      <c r="H297" t="inlineStr">
        <is>
          <t>Vend_A</t>
        </is>
      </c>
      <c r="I297" t="inlineStr">
        <is>
          <t>2024-06</t>
        </is>
      </c>
    </row>
    <row r="298">
      <c r="A298" t="n">
        <v>297</v>
      </c>
      <c r="B298" s="13" t="n">
        <v>45464</v>
      </c>
      <c r="C298" t="inlineStr">
        <is>
          <t>EUR_Operating</t>
        </is>
      </c>
      <c r="D298" t="inlineStr">
        <is>
          <t>EUR</t>
        </is>
      </c>
      <c r="E298" t="inlineStr">
        <is>
          <t>credit</t>
        </is>
      </c>
      <c r="F298" t="n">
        <v>4787.21</v>
      </c>
      <c r="G298" t="inlineStr">
        <is>
          <t>Customer Payment</t>
        </is>
      </c>
      <c r="H298" t="inlineStr">
        <is>
          <t>Cust_D</t>
        </is>
      </c>
      <c r="I298" t="inlineStr">
        <is>
          <t>2024-06</t>
        </is>
      </c>
    </row>
    <row r="299">
      <c r="A299" t="n">
        <v>298</v>
      </c>
      <c r="B299" s="13" t="n">
        <v>45464</v>
      </c>
      <c r="C299" t="inlineStr">
        <is>
          <t>EUR_Operating</t>
        </is>
      </c>
      <c r="D299" t="inlineStr">
        <is>
          <t>EUR</t>
        </is>
      </c>
      <c r="E299" t="inlineStr">
        <is>
          <t>debit</t>
        </is>
      </c>
      <c r="F299" t="n">
        <v>5052.83</v>
      </c>
      <c r="G299" t="inlineStr">
        <is>
          <t>Supplier Payment</t>
        </is>
      </c>
      <c r="H299" t="inlineStr">
        <is>
          <t>Vend_A</t>
        </is>
      </c>
      <c r="I299" t="inlineStr">
        <is>
          <t>2024-06</t>
        </is>
      </c>
    </row>
    <row r="300">
      <c r="A300" t="n">
        <v>299</v>
      </c>
      <c r="B300" s="13" t="n">
        <v>45465</v>
      </c>
      <c r="C300" t="inlineStr">
        <is>
          <t>EUR_Operating</t>
        </is>
      </c>
      <c r="D300" t="inlineStr">
        <is>
          <t>EUR</t>
        </is>
      </c>
      <c r="E300" t="inlineStr">
        <is>
          <t>credit</t>
        </is>
      </c>
      <c r="F300" t="n">
        <v>8728.84</v>
      </c>
      <c r="G300" t="inlineStr">
        <is>
          <t>Customer Payment</t>
        </is>
      </c>
      <c r="H300" t="inlineStr">
        <is>
          <t>Cust_D</t>
        </is>
      </c>
      <c r="I300" t="inlineStr">
        <is>
          <t>2024-06</t>
        </is>
      </c>
    </row>
    <row r="301">
      <c r="A301" t="n">
        <v>300</v>
      </c>
      <c r="B301" s="13" t="n">
        <v>45465</v>
      </c>
      <c r="C301" t="inlineStr">
        <is>
          <t>EUR_Operating</t>
        </is>
      </c>
      <c r="D301" t="inlineStr">
        <is>
          <t>EUR</t>
        </is>
      </c>
      <c r="E301" t="inlineStr">
        <is>
          <t>debit</t>
        </is>
      </c>
      <c r="F301" t="n">
        <v>2947.86</v>
      </c>
      <c r="G301" t="inlineStr">
        <is>
          <t>Supplier Payment</t>
        </is>
      </c>
      <c r="H301" t="inlineStr">
        <is>
          <t>Vend_C</t>
        </is>
      </c>
      <c r="I301" t="inlineStr">
        <is>
          <t>2024-06</t>
        </is>
      </c>
    </row>
    <row r="302">
      <c r="A302" t="n">
        <v>301</v>
      </c>
      <c r="B302" s="13" t="n">
        <v>45466</v>
      </c>
      <c r="C302" t="inlineStr">
        <is>
          <t>EUR_Operating</t>
        </is>
      </c>
      <c r="D302" t="inlineStr">
        <is>
          <t>EUR</t>
        </is>
      </c>
      <c r="E302" t="inlineStr">
        <is>
          <t>credit</t>
        </is>
      </c>
      <c r="F302" t="n">
        <v>8299.07</v>
      </c>
      <c r="G302" t="inlineStr">
        <is>
          <t>Customer Payment</t>
        </is>
      </c>
      <c r="H302" t="inlineStr">
        <is>
          <t>Cust_B</t>
        </is>
      </c>
      <c r="I302" t="inlineStr">
        <is>
          <t>2024-06</t>
        </is>
      </c>
    </row>
    <row r="303">
      <c r="A303" t="n">
        <v>302</v>
      </c>
      <c r="B303" s="13" t="n">
        <v>45466</v>
      </c>
      <c r="C303" t="inlineStr">
        <is>
          <t>EUR_Operating</t>
        </is>
      </c>
      <c r="D303" t="inlineStr">
        <is>
          <t>EUR</t>
        </is>
      </c>
      <c r="E303" t="inlineStr">
        <is>
          <t>debit</t>
        </is>
      </c>
      <c r="F303" t="n">
        <v>6463.91</v>
      </c>
      <c r="G303" t="inlineStr">
        <is>
          <t>Supplier Payment</t>
        </is>
      </c>
      <c r="H303" t="inlineStr">
        <is>
          <t>Vend_A</t>
        </is>
      </c>
      <c r="I303" t="inlineStr">
        <is>
          <t>2024-06</t>
        </is>
      </c>
    </row>
    <row r="304">
      <c r="A304" t="n">
        <v>303</v>
      </c>
      <c r="B304" s="13" t="n">
        <v>45467</v>
      </c>
      <c r="C304" t="inlineStr">
        <is>
          <t>JPY_Sales</t>
        </is>
      </c>
      <c r="D304" t="inlineStr">
        <is>
          <t>JPY</t>
        </is>
      </c>
      <c r="E304" t="inlineStr">
        <is>
          <t>credit</t>
        </is>
      </c>
      <c r="F304" t="n">
        <v>345255</v>
      </c>
      <c r="G304" t="inlineStr">
        <is>
          <t>Customer Payment</t>
        </is>
      </c>
      <c r="H304" t="inlineStr">
        <is>
          <t>Cust_C</t>
        </is>
      </c>
      <c r="I304" t="inlineStr">
        <is>
          <t>2024-06</t>
        </is>
      </c>
    </row>
    <row r="305">
      <c r="A305" t="n">
        <v>304</v>
      </c>
      <c r="B305" s="13" t="n">
        <v>45468</v>
      </c>
      <c r="C305" t="inlineStr">
        <is>
          <t>EUR_Operating</t>
        </is>
      </c>
      <c r="D305" t="inlineStr">
        <is>
          <t>EUR</t>
        </is>
      </c>
      <c r="E305" t="inlineStr">
        <is>
          <t>credit</t>
        </is>
      </c>
      <c r="F305" t="n">
        <v>15173.76</v>
      </c>
      <c r="G305" t="inlineStr">
        <is>
          <t>Customer Payment</t>
        </is>
      </c>
      <c r="H305" t="inlineStr">
        <is>
          <t>Cust_C</t>
        </is>
      </c>
      <c r="I305" t="inlineStr">
        <is>
          <t>2024-06</t>
        </is>
      </c>
    </row>
    <row r="306">
      <c r="A306" t="n">
        <v>305</v>
      </c>
      <c r="B306" s="13" t="n">
        <v>45468</v>
      </c>
      <c r="C306" t="inlineStr">
        <is>
          <t>EUR_Operating</t>
        </is>
      </c>
      <c r="D306" t="inlineStr">
        <is>
          <t>EUR</t>
        </is>
      </c>
      <c r="E306" t="inlineStr">
        <is>
          <t>debit</t>
        </is>
      </c>
      <c r="F306" t="n">
        <v>11207.03</v>
      </c>
      <c r="G306" t="inlineStr">
        <is>
          <t>Supplier Payment</t>
        </is>
      </c>
      <c r="H306" t="inlineStr">
        <is>
          <t>Vend_A</t>
        </is>
      </c>
      <c r="I306" t="inlineStr">
        <is>
          <t>2024-06</t>
        </is>
      </c>
    </row>
    <row r="307">
      <c r="A307" t="n">
        <v>306</v>
      </c>
      <c r="B307" s="13" t="n">
        <v>45468</v>
      </c>
      <c r="C307" t="inlineStr">
        <is>
          <t>EUR_Operating</t>
        </is>
      </c>
      <c r="D307" t="inlineStr">
        <is>
          <t>EUR</t>
        </is>
      </c>
      <c r="E307" t="inlineStr">
        <is>
          <t>debit</t>
        </is>
      </c>
      <c r="F307" t="n">
        <v>1751.07</v>
      </c>
      <c r="G307" t="inlineStr">
        <is>
          <t>Supplier Payment</t>
        </is>
      </c>
      <c r="H307" t="inlineStr">
        <is>
          <t>Vend_A</t>
        </is>
      </c>
      <c r="I307" t="inlineStr">
        <is>
          <t>2024-06</t>
        </is>
      </c>
    </row>
    <row r="308">
      <c r="A308" t="n">
        <v>307</v>
      </c>
      <c r="B308" s="13" t="n">
        <v>45468</v>
      </c>
      <c r="C308" t="inlineStr">
        <is>
          <t>EUR_Payroll</t>
        </is>
      </c>
      <c r="D308" t="inlineStr">
        <is>
          <t>EUR</t>
        </is>
      </c>
      <c r="E308" t="inlineStr">
        <is>
          <t>debit</t>
        </is>
      </c>
      <c r="F308" t="n">
        <v>123654.51</v>
      </c>
      <c r="G308" t="inlineStr">
        <is>
          <t>Payroll</t>
        </is>
      </c>
      <c r="H308" t="inlineStr">
        <is>
          <t>Payroll</t>
        </is>
      </c>
      <c r="I308" t="inlineStr">
        <is>
          <t>2024-06</t>
        </is>
      </c>
    </row>
    <row r="309">
      <c r="A309" t="n">
        <v>308</v>
      </c>
      <c r="B309" s="13" t="n">
        <v>45468</v>
      </c>
      <c r="C309" t="inlineStr">
        <is>
          <t>EUR_Operating</t>
        </is>
      </c>
      <c r="D309" t="inlineStr">
        <is>
          <t>EUR</t>
        </is>
      </c>
      <c r="E309" t="inlineStr">
        <is>
          <t>debit</t>
        </is>
      </c>
      <c r="F309" t="n">
        <v>123654.51</v>
      </c>
      <c r="G309" t="inlineStr">
        <is>
          <t>Transfer to Payroll</t>
        </is>
      </c>
      <c r="H309" t="inlineStr">
        <is>
          <t>Payroll</t>
        </is>
      </c>
      <c r="I309" t="inlineStr">
        <is>
          <t>2024-06</t>
        </is>
      </c>
    </row>
    <row r="310">
      <c r="A310" t="n">
        <v>309</v>
      </c>
      <c r="B310" s="13" t="n">
        <v>45469</v>
      </c>
      <c r="C310" t="inlineStr">
        <is>
          <t>EUR_Operating</t>
        </is>
      </c>
      <c r="D310" t="inlineStr">
        <is>
          <t>EUR</t>
        </is>
      </c>
      <c r="E310" t="inlineStr">
        <is>
          <t>credit</t>
        </is>
      </c>
      <c r="F310" t="n">
        <v>5126.58</v>
      </c>
      <c r="G310" t="inlineStr">
        <is>
          <t>Customer Payment</t>
        </is>
      </c>
      <c r="H310" t="inlineStr">
        <is>
          <t>Cust_B</t>
        </is>
      </c>
      <c r="I310" t="inlineStr">
        <is>
          <t>2024-06</t>
        </is>
      </c>
    </row>
    <row r="311">
      <c r="A311" t="n">
        <v>310</v>
      </c>
      <c r="B311" s="13" t="n">
        <v>45471</v>
      </c>
      <c r="C311" t="inlineStr">
        <is>
          <t>EUR_Operating</t>
        </is>
      </c>
      <c r="D311" t="inlineStr">
        <is>
          <t>EUR</t>
        </is>
      </c>
      <c r="E311" t="inlineStr">
        <is>
          <t>credit</t>
        </is>
      </c>
      <c r="F311" t="n">
        <v>5444.72</v>
      </c>
      <c r="G311" t="inlineStr">
        <is>
          <t>Customer Payment</t>
        </is>
      </c>
      <c r="H311" t="inlineStr">
        <is>
          <t>Cust_A</t>
        </is>
      </c>
      <c r="I311" t="inlineStr">
        <is>
          <t>2024-06</t>
        </is>
      </c>
    </row>
    <row r="312">
      <c r="A312" t="n">
        <v>311</v>
      </c>
      <c r="B312" s="13" t="n">
        <v>45472</v>
      </c>
      <c r="C312" t="inlineStr">
        <is>
          <t>EUR_Operating</t>
        </is>
      </c>
      <c r="D312" t="inlineStr">
        <is>
          <t>EUR</t>
        </is>
      </c>
      <c r="E312" t="inlineStr">
        <is>
          <t>debit</t>
        </is>
      </c>
      <c r="F312" t="n">
        <v>1583.41</v>
      </c>
      <c r="G312" t="inlineStr">
        <is>
          <t>Supplier Payment</t>
        </is>
      </c>
      <c r="H312" t="inlineStr">
        <is>
          <t>Vend_C</t>
        </is>
      </c>
      <c r="I312" t="inlineStr">
        <is>
          <t>2024-06</t>
        </is>
      </c>
    </row>
    <row r="313">
      <c r="A313" t="n">
        <v>312</v>
      </c>
      <c r="B313" s="13" t="n">
        <v>45472</v>
      </c>
      <c r="C313" t="inlineStr">
        <is>
          <t>EUR_Operating</t>
        </is>
      </c>
      <c r="D313" t="inlineStr">
        <is>
          <t>EUR</t>
        </is>
      </c>
      <c r="E313" t="inlineStr">
        <is>
          <t>debit</t>
        </is>
      </c>
      <c r="F313" t="n">
        <v>3099.6</v>
      </c>
      <c r="G313" t="inlineStr">
        <is>
          <t>Supplier Payment</t>
        </is>
      </c>
      <c r="H313" t="inlineStr">
        <is>
          <t>Vend_C</t>
        </is>
      </c>
      <c r="I313" t="inlineStr">
        <is>
          <t>2024-06</t>
        </is>
      </c>
    </row>
    <row r="314">
      <c r="A314" t="n">
        <v>313</v>
      </c>
      <c r="B314" s="13" t="n">
        <v>45472</v>
      </c>
      <c r="C314" t="inlineStr">
        <is>
          <t>EUR_Operating</t>
        </is>
      </c>
      <c r="D314" t="inlineStr">
        <is>
          <t>EUR</t>
        </is>
      </c>
      <c r="E314" t="inlineStr">
        <is>
          <t>debit</t>
        </is>
      </c>
      <c r="F314" t="n">
        <v>3204.91</v>
      </c>
      <c r="G314" t="inlineStr">
        <is>
          <t>Supplier Payment</t>
        </is>
      </c>
      <c r="H314" t="inlineStr">
        <is>
          <t>Vend_B</t>
        </is>
      </c>
      <c r="I314" t="inlineStr">
        <is>
          <t>2024-06</t>
        </is>
      </c>
    </row>
    <row r="315">
      <c r="A315" t="n">
        <v>314</v>
      </c>
      <c r="B315" s="13" t="n">
        <v>45473</v>
      </c>
      <c r="C315" t="inlineStr">
        <is>
          <t>EUR_Operating</t>
        </is>
      </c>
      <c r="D315" t="inlineStr">
        <is>
          <t>EUR</t>
        </is>
      </c>
      <c r="E315" t="inlineStr">
        <is>
          <t>credit</t>
        </is>
      </c>
      <c r="F315" t="n">
        <v>7002.58</v>
      </c>
      <c r="G315" t="inlineStr">
        <is>
          <t>Customer Payment</t>
        </is>
      </c>
      <c r="H315" t="inlineStr">
        <is>
          <t>Cust_D</t>
        </is>
      </c>
      <c r="I315" t="inlineStr">
        <is>
          <t>2024-06</t>
        </is>
      </c>
    </row>
    <row r="316">
      <c r="A316" t="n">
        <v>315</v>
      </c>
      <c r="B316" s="13" t="n">
        <v>45473</v>
      </c>
      <c r="C316" t="inlineStr">
        <is>
          <t>EUR_Operating</t>
        </is>
      </c>
      <c r="D316" t="inlineStr">
        <is>
          <t>EUR</t>
        </is>
      </c>
      <c r="E316" t="inlineStr">
        <is>
          <t>credit</t>
        </is>
      </c>
      <c r="F316" t="n">
        <v>17119.95</v>
      </c>
      <c r="G316" t="inlineStr">
        <is>
          <t>Customer Payment</t>
        </is>
      </c>
      <c r="H316" t="inlineStr">
        <is>
          <t>Cust_A</t>
        </is>
      </c>
      <c r="I316" t="inlineStr">
        <is>
          <t>2024-06</t>
        </is>
      </c>
    </row>
    <row r="317">
      <c r="A317" t="n">
        <v>316</v>
      </c>
      <c r="B317" s="13" t="n">
        <v>45474</v>
      </c>
      <c r="C317" t="inlineStr">
        <is>
          <t>EUR_Operating</t>
        </is>
      </c>
      <c r="D317" t="inlineStr">
        <is>
          <t>EUR</t>
        </is>
      </c>
      <c r="E317" t="inlineStr">
        <is>
          <t>credit</t>
        </is>
      </c>
      <c r="F317" t="n">
        <v>2065.62</v>
      </c>
      <c r="G317" t="inlineStr">
        <is>
          <t>Customer Payment</t>
        </is>
      </c>
      <c r="H317" t="inlineStr">
        <is>
          <t>Cust_A</t>
        </is>
      </c>
      <c r="I317" t="inlineStr">
        <is>
          <t>2024-07</t>
        </is>
      </c>
    </row>
    <row r="318">
      <c r="A318" t="n">
        <v>317</v>
      </c>
      <c r="B318" s="13" t="n">
        <v>45474</v>
      </c>
      <c r="C318" t="inlineStr">
        <is>
          <t>EUR_Operating</t>
        </is>
      </c>
      <c r="D318" t="inlineStr">
        <is>
          <t>EUR</t>
        </is>
      </c>
      <c r="E318" t="inlineStr">
        <is>
          <t>credit</t>
        </is>
      </c>
      <c r="F318" t="n">
        <v>10660.99</v>
      </c>
      <c r="G318" t="inlineStr">
        <is>
          <t>Customer Payment</t>
        </is>
      </c>
      <c r="H318" t="inlineStr">
        <is>
          <t>Cust_B</t>
        </is>
      </c>
      <c r="I318" t="inlineStr">
        <is>
          <t>2024-07</t>
        </is>
      </c>
    </row>
    <row r="319">
      <c r="A319" t="n">
        <v>318</v>
      </c>
      <c r="B319" s="13" t="n">
        <v>45474</v>
      </c>
      <c r="C319" t="inlineStr">
        <is>
          <t>JPY_Sales</t>
        </is>
      </c>
      <c r="D319" t="inlineStr">
        <is>
          <t>JPY</t>
        </is>
      </c>
      <c r="E319" t="inlineStr">
        <is>
          <t>credit</t>
        </is>
      </c>
      <c r="F319" t="n">
        <v>1679410</v>
      </c>
      <c r="G319" t="inlineStr">
        <is>
          <t>Customer Payment</t>
        </is>
      </c>
      <c r="H319" t="inlineStr">
        <is>
          <t>Cust_D</t>
        </is>
      </c>
      <c r="I319" t="inlineStr">
        <is>
          <t>2024-07</t>
        </is>
      </c>
    </row>
    <row r="320">
      <c r="A320" t="n">
        <v>319</v>
      </c>
      <c r="B320" s="13" t="n">
        <v>45474</v>
      </c>
      <c r="C320" t="inlineStr">
        <is>
          <t>EUR_Operating</t>
        </is>
      </c>
      <c r="D320" t="inlineStr">
        <is>
          <t>EUR</t>
        </is>
      </c>
      <c r="E320" t="inlineStr">
        <is>
          <t>debit</t>
        </is>
      </c>
      <c r="F320" t="n">
        <v>9893.49</v>
      </c>
      <c r="G320" t="inlineStr">
        <is>
          <t>Supplier Payment</t>
        </is>
      </c>
      <c r="H320" t="inlineStr">
        <is>
          <t>Vend_C</t>
        </is>
      </c>
      <c r="I320" t="inlineStr">
        <is>
          <t>2024-07</t>
        </is>
      </c>
    </row>
    <row r="321">
      <c r="A321" t="n">
        <v>320</v>
      </c>
      <c r="B321" s="13" t="n">
        <v>45474</v>
      </c>
      <c r="C321" t="inlineStr">
        <is>
          <t>EUR_Operating</t>
        </is>
      </c>
      <c r="D321" t="inlineStr">
        <is>
          <t>EUR</t>
        </is>
      </c>
      <c r="E321" t="inlineStr">
        <is>
          <t>debit</t>
        </is>
      </c>
      <c r="F321" t="n">
        <v>28001.67</v>
      </c>
      <c r="G321" t="inlineStr">
        <is>
          <t>Loan Interest</t>
        </is>
      </c>
      <c r="H321" t="inlineStr">
        <is>
          <t>Bank Loan</t>
        </is>
      </c>
      <c r="I321" t="inlineStr">
        <is>
          <t>2024-07</t>
        </is>
      </c>
    </row>
    <row r="322">
      <c r="A322" t="n">
        <v>321</v>
      </c>
      <c r="B322" s="13" t="n">
        <v>45475</v>
      </c>
      <c r="C322" t="inlineStr">
        <is>
          <t>EUR_Operating</t>
        </is>
      </c>
      <c r="D322" t="inlineStr">
        <is>
          <t>EUR</t>
        </is>
      </c>
      <c r="E322" t="inlineStr">
        <is>
          <t>credit</t>
        </is>
      </c>
      <c r="F322" t="n">
        <v>2203.12</v>
      </c>
      <c r="G322" t="inlineStr">
        <is>
          <t>Customer Payment</t>
        </is>
      </c>
      <c r="H322" t="inlineStr">
        <is>
          <t>Cust_A</t>
        </is>
      </c>
      <c r="I322" t="inlineStr">
        <is>
          <t>2024-07</t>
        </is>
      </c>
    </row>
    <row r="323">
      <c r="A323" t="n">
        <v>322</v>
      </c>
      <c r="B323" s="13" t="n">
        <v>45476</v>
      </c>
      <c r="C323" t="inlineStr">
        <is>
          <t>EUR_Operating</t>
        </is>
      </c>
      <c r="D323" t="inlineStr">
        <is>
          <t>EUR</t>
        </is>
      </c>
      <c r="E323" t="inlineStr">
        <is>
          <t>credit</t>
        </is>
      </c>
      <c r="F323" t="n">
        <v>10052.03</v>
      </c>
      <c r="G323" t="inlineStr">
        <is>
          <t>Customer Payment</t>
        </is>
      </c>
      <c r="H323" t="inlineStr">
        <is>
          <t>Cust_A</t>
        </is>
      </c>
      <c r="I323" t="inlineStr">
        <is>
          <t>2024-07</t>
        </is>
      </c>
    </row>
    <row r="324">
      <c r="A324" t="n">
        <v>323</v>
      </c>
      <c r="B324" s="13" t="n">
        <v>45476</v>
      </c>
      <c r="C324" t="inlineStr">
        <is>
          <t>EUR_Operating</t>
        </is>
      </c>
      <c r="D324" t="inlineStr">
        <is>
          <t>EUR</t>
        </is>
      </c>
      <c r="E324" t="inlineStr">
        <is>
          <t>credit</t>
        </is>
      </c>
      <c r="F324" t="n">
        <v>18944.86</v>
      </c>
      <c r="G324" t="inlineStr">
        <is>
          <t>Customer Payment</t>
        </is>
      </c>
      <c r="H324" t="inlineStr">
        <is>
          <t>Cust_D</t>
        </is>
      </c>
      <c r="I324" t="inlineStr">
        <is>
          <t>2024-07</t>
        </is>
      </c>
    </row>
    <row r="325">
      <c r="A325" t="n">
        <v>324</v>
      </c>
      <c r="B325" s="13" t="n">
        <v>45477</v>
      </c>
      <c r="C325" t="inlineStr">
        <is>
          <t>EUR_Operating</t>
        </is>
      </c>
      <c r="D325" t="inlineStr">
        <is>
          <t>EUR</t>
        </is>
      </c>
      <c r="E325" t="inlineStr">
        <is>
          <t>debit</t>
        </is>
      </c>
      <c r="F325" t="n">
        <v>2403.95</v>
      </c>
      <c r="G325" t="inlineStr">
        <is>
          <t>Supplier Payment</t>
        </is>
      </c>
      <c r="H325" t="inlineStr">
        <is>
          <t>Vend_C</t>
        </is>
      </c>
      <c r="I325" t="inlineStr">
        <is>
          <t>2024-07</t>
        </is>
      </c>
    </row>
    <row r="326">
      <c r="A326" t="n">
        <v>325</v>
      </c>
      <c r="B326" s="13" t="n">
        <v>45477</v>
      </c>
      <c r="C326" t="inlineStr">
        <is>
          <t>EUR_Operating</t>
        </is>
      </c>
      <c r="D326" t="inlineStr">
        <is>
          <t>EUR</t>
        </is>
      </c>
      <c r="E326" t="inlineStr">
        <is>
          <t>debit</t>
        </is>
      </c>
      <c r="F326" t="n">
        <v>1543.23</v>
      </c>
      <c r="G326" t="inlineStr">
        <is>
          <t>Supplier Payment</t>
        </is>
      </c>
      <c r="H326" t="inlineStr">
        <is>
          <t>Vend_A</t>
        </is>
      </c>
      <c r="I326" t="inlineStr">
        <is>
          <t>2024-07</t>
        </is>
      </c>
    </row>
    <row r="327">
      <c r="A327" t="n">
        <v>326</v>
      </c>
      <c r="B327" s="13" t="n">
        <v>45478</v>
      </c>
      <c r="C327" t="inlineStr">
        <is>
          <t>EUR_Operating</t>
        </is>
      </c>
      <c r="D327" t="inlineStr">
        <is>
          <t>EUR</t>
        </is>
      </c>
      <c r="E327" t="inlineStr">
        <is>
          <t>debit</t>
        </is>
      </c>
      <c r="F327" t="n">
        <v>14058.61</v>
      </c>
      <c r="G327" t="inlineStr">
        <is>
          <t>Supplier Payment</t>
        </is>
      </c>
      <c r="H327" t="inlineStr">
        <is>
          <t>Vend_A</t>
        </is>
      </c>
      <c r="I327" t="inlineStr">
        <is>
          <t>2024-07</t>
        </is>
      </c>
    </row>
    <row r="328">
      <c r="A328" t="n">
        <v>327</v>
      </c>
      <c r="B328" s="13" t="n">
        <v>45478</v>
      </c>
      <c r="C328" t="inlineStr">
        <is>
          <t>EUR_Operating</t>
        </is>
      </c>
      <c r="D328" t="inlineStr">
        <is>
          <t>EUR</t>
        </is>
      </c>
      <c r="E328" t="inlineStr">
        <is>
          <t>debit</t>
        </is>
      </c>
      <c r="F328" t="n">
        <v>12005.27</v>
      </c>
      <c r="G328" t="inlineStr">
        <is>
          <t>Supplier Payment</t>
        </is>
      </c>
      <c r="H328" t="inlineStr">
        <is>
          <t>Vend_A</t>
        </is>
      </c>
      <c r="I328" t="inlineStr">
        <is>
          <t>2024-07</t>
        </is>
      </c>
    </row>
    <row r="329">
      <c r="A329" t="n">
        <v>328</v>
      </c>
      <c r="B329" s="13" t="n">
        <v>45479</v>
      </c>
      <c r="C329" t="inlineStr">
        <is>
          <t>EUR_Operating</t>
        </is>
      </c>
      <c r="D329" t="inlineStr">
        <is>
          <t>EUR</t>
        </is>
      </c>
      <c r="E329" t="inlineStr">
        <is>
          <t>credit</t>
        </is>
      </c>
      <c r="F329" t="n">
        <v>15022.94</v>
      </c>
      <c r="G329" t="inlineStr">
        <is>
          <t>Customer Payment</t>
        </is>
      </c>
      <c r="H329" t="inlineStr">
        <is>
          <t>Cust_D</t>
        </is>
      </c>
      <c r="I329" t="inlineStr">
        <is>
          <t>2024-07</t>
        </is>
      </c>
    </row>
    <row r="330">
      <c r="A330" t="n">
        <v>329</v>
      </c>
      <c r="B330" s="13" t="n">
        <v>45479</v>
      </c>
      <c r="C330" t="inlineStr">
        <is>
          <t>EUR_Operating</t>
        </is>
      </c>
      <c r="D330" t="inlineStr">
        <is>
          <t>EUR</t>
        </is>
      </c>
      <c r="E330" t="inlineStr">
        <is>
          <t>debit</t>
        </is>
      </c>
      <c r="F330" t="n">
        <v>2070.54</v>
      </c>
      <c r="G330" t="inlineStr">
        <is>
          <t>Supplier Payment</t>
        </is>
      </c>
      <c r="H330" t="inlineStr">
        <is>
          <t>Vend_C</t>
        </is>
      </c>
      <c r="I330" t="inlineStr">
        <is>
          <t>2024-07</t>
        </is>
      </c>
    </row>
    <row r="331">
      <c r="A331" t="n">
        <v>330</v>
      </c>
      <c r="B331" s="13" t="n">
        <v>45480</v>
      </c>
      <c r="C331" t="inlineStr">
        <is>
          <t>EUR_Operating</t>
        </is>
      </c>
      <c r="D331" t="inlineStr">
        <is>
          <t>EUR</t>
        </is>
      </c>
      <c r="E331" t="inlineStr">
        <is>
          <t>credit</t>
        </is>
      </c>
      <c r="F331" t="n">
        <v>3191.28</v>
      </c>
      <c r="G331" t="inlineStr">
        <is>
          <t>Customer Payment</t>
        </is>
      </c>
      <c r="H331" t="inlineStr">
        <is>
          <t>Cust_C</t>
        </is>
      </c>
      <c r="I331" t="inlineStr">
        <is>
          <t>2024-07</t>
        </is>
      </c>
    </row>
    <row r="332">
      <c r="A332" t="n">
        <v>331</v>
      </c>
      <c r="B332" s="13" t="n">
        <v>45481</v>
      </c>
      <c r="C332" t="inlineStr">
        <is>
          <t>EUR_Operating</t>
        </is>
      </c>
      <c r="D332" t="inlineStr">
        <is>
          <t>EUR</t>
        </is>
      </c>
      <c r="E332" t="inlineStr">
        <is>
          <t>credit</t>
        </is>
      </c>
      <c r="F332" t="n">
        <v>24675.17</v>
      </c>
      <c r="G332" t="inlineStr">
        <is>
          <t>Customer Payment</t>
        </is>
      </c>
      <c r="H332" t="inlineStr">
        <is>
          <t>Cust_C</t>
        </is>
      </c>
      <c r="I332" t="inlineStr">
        <is>
          <t>2024-07</t>
        </is>
      </c>
    </row>
    <row r="333">
      <c r="A333" t="n">
        <v>332</v>
      </c>
      <c r="B333" s="13" t="n">
        <v>45481</v>
      </c>
      <c r="C333" t="inlineStr">
        <is>
          <t>EUR_Operating</t>
        </is>
      </c>
      <c r="D333" t="inlineStr">
        <is>
          <t>EUR</t>
        </is>
      </c>
      <c r="E333" t="inlineStr">
        <is>
          <t>debit</t>
        </is>
      </c>
      <c r="F333" t="n">
        <v>3067.13</v>
      </c>
      <c r="G333" t="inlineStr">
        <is>
          <t>Supplier Payment</t>
        </is>
      </c>
      <c r="H333" t="inlineStr">
        <is>
          <t>Vend_A</t>
        </is>
      </c>
      <c r="I333" t="inlineStr">
        <is>
          <t>2024-07</t>
        </is>
      </c>
    </row>
    <row r="334">
      <c r="A334" t="n">
        <v>333</v>
      </c>
      <c r="B334" s="13" t="n">
        <v>45482</v>
      </c>
      <c r="C334" t="inlineStr">
        <is>
          <t>EUR_Operating</t>
        </is>
      </c>
      <c r="D334" t="inlineStr">
        <is>
          <t>EUR</t>
        </is>
      </c>
      <c r="E334" t="inlineStr">
        <is>
          <t>credit</t>
        </is>
      </c>
      <c r="F334" t="n">
        <v>4576.42</v>
      </c>
      <c r="G334" t="inlineStr">
        <is>
          <t>Customer Payment</t>
        </is>
      </c>
      <c r="H334" t="inlineStr">
        <is>
          <t>Cust_B</t>
        </is>
      </c>
      <c r="I334" t="inlineStr">
        <is>
          <t>2024-07</t>
        </is>
      </c>
    </row>
    <row r="335">
      <c r="A335" t="n">
        <v>334</v>
      </c>
      <c r="B335" s="13" t="n">
        <v>45482</v>
      </c>
      <c r="C335" t="inlineStr">
        <is>
          <t>EUR_Operating</t>
        </is>
      </c>
      <c r="D335" t="inlineStr">
        <is>
          <t>EUR</t>
        </is>
      </c>
      <c r="E335" t="inlineStr">
        <is>
          <t>debit</t>
        </is>
      </c>
      <c r="F335" t="n">
        <v>3020.74</v>
      </c>
      <c r="G335" t="inlineStr">
        <is>
          <t>Supplier Payment</t>
        </is>
      </c>
      <c r="H335" t="inlineStr">
        <is>
          <t>Vend_C</t>
        </is>
      </c>
      <c r="I335" t="inlineStr">
        <is>
          <t>2024-07</t>
        </is>
      </c>
    </row>
    <row r="336">
      <c r="A336" t="n">
        <v>335</v>
      </c>
      <c r="B336" s="13" t="n">
        <v>45483</v>
      </c>
      <c r="C336" t="inlineStr">
        <is>
          <t>EUR_Operating</t>
        </is>
      </c>
      <c r="D336" t="inlineStr">
        <is>
          <t>EUR</t>
        </is>
      </c>
      <c r="E336" t="inlineStr">
        <is>
          <t>credit</t>
        </is>
      </c>
      <c r="F336" t="n">
        <v>5358.22</v>
      </c>
      <c r="G336" t="inlineStr">
        <is>
          <t>Customer Payment</t>
        </is>
      </c>
      <c r="H336" t="inlineStr">
        <is>
          <t>Cust_B</t>
        </is>
      </c>
      <c r="I336" t="inlineStr">
        <is>
          <t>2024-07</t>
        </is>
      </c>
    </row>
    <row r="337">
      <c r="A337" t="n">
        <v>336</v>
      </c>
      <c r="B337" s="13" t="n">
        <v>45484</v>
      </c>
      <c r="C337" t="inlineStr">
        <is>
          <t>USD_Sales</t>
        </is>
      </c>
      <c r="D337" t="inlineStr">
        <is>
          <t>USD</t>
        </is>
      </c>
      <c r="E337" t="inlineStr">
        <is>
          <t>credit</t>
        </is>
      </c>
      <c r="F337" t="n">
        <v>16749.34</v>
      </c>
      <c r="G337" t="inlineStr">
        <is>
          <t>Customer Payment</t>
        </is>
      </c>
      <c r="H337" t="inlineStr">
        <is>
          <t>Cust_C</t>
        </is>
      </c>
      <c r="I337" t="inlineStr">
        <is>
          <t>2024-07</t>
        </is>
      </c>
    </row>
    <row r="338">
      <c r="A338" t="n">
        <v>337</v>
      </c>
      <c r="B338" s="13" t="n">
        <v>45485</v>
      </c>
      <c r="C338" t="inlineStr">
        <is>
          <t>EUR_Operating</t>
        </is>
      </c>
      <c r="D338" t="inlineStr">
        <is>
          <t>EUR</t>
        </is>
      </c>
      <c r="E338" t="inlineStr">
        <is>
          <t>debit</t>
        </is>
      </c>
      <c r="F338" t="n">
        <v>6917.08</v>
      </c>
      <c r="G338" t="inlineStr">
        <is>
          <t>Supplier Payment</t>
        </is>
      </c>
      <c r="H338" t="inlineStr">
        <is>
          <t>Vend_A</t>
        </is>
      </c>
      <c r="I338" t="inlineStr">
        <is>
          <t>2024-07</t>
        </is>
      </c>
    </row>
    <row r="339">
      <c r="A339" t="n">
        <v>338</v>
      </c>
      <c r="B339" s="13" t="n">
        <v>45485</v>
      </c>
      <c r="C339" t="inlineStr">
        <is>
          <t>EUR_Operating</t>
        </is>
      </c>
      <c r="D339" t="inlineStr">
        <is>
          <t>EUR</t>
        </is>
      </c>
      <c r="E339" t="inlineStr">
        <is>
          <t>debit</t>
        </is>
      </c>
      <c r="F339" t="n">
        <v>6776.5</v>
      </c>
      <c r="G339" t="inlineStr">
        <is>
          <t>Supplier Payment</t>
        </is>
      </c>
      <c r="H339" t="inlineStr">
        <is>
          <t>Vend_C</t>
        </is>
      </c>
      <c r="I339" t="inlineStr">
        <is>
          <t>2024-07</t>
        </is>
      </c>
    </row>
    <row r="340">
      <c r="A340" t="n">
        <v>339</v>
      </c>
      <c r="B340" s="13" t="n">
        <v>45485</v>
      </c>
      <c r="C340" t="inlineStr">
        <is>
          <t>EUR_Operating</t>
        </is>
      </c>
      <c r="D340" t="inlineStr">
        <is>
          <t>EUR</t>
        </is>
      </c>
      <c r="E340" t="inlineStr">
        <is>
          <t>debit</t>
        </is>
      </c>
      <c r="F340" t="n">
        <v>12690.8</v>
      </c>
      <c r="G340" t="inlineStr">
        <is>
          <t>Supplier Payment</t>
        </is>
      </c>
      <c r="H340" t="inlineStr">
        <is>
          <t>Vend_C</t>
        </is>
      </c>
      <c r="I340" t="inlineStr">
        <is>
          <t>2024-07</t>
        </is>
      </c>
    </row>
    <row r="341">
      <c r="A341" t="n">
        <v>340</v>
      </c>
      <c r="B341" s="13" t="n">
        <v>45486</v>
      </c>
      <c r="C341" t="inlineStr">
        <is>
          <t>EUR_Operating</t>
        </is>
      </c>
      <c r="D341" t="inlineStr">
        <is>
          <t>EUR</t>
        </is>
      </c>
      <c r="E341" t="inlineStr">
        <is>
          <t>credit</t>
        </is>
      </c>
      <c r="F341" t="n">
        <v>9811.76</v>
      </c>
      <c r="G341" t="inlineStr">
        <is>
          <t>Customer Payment</t>
        </is>
      </c>
      <c r="H341" t="inlineStr">
        <is>
          <t>Cust_C</t>
        </is>
      </c>
      <c r="I341" t="inlineStr">
        <is>
          <t>2024-07</t>
        </is>
      </c>
    </row>
    <row r="342">
      <c r="A342" t="n">
        <v>341</v>
      </c>
      <c r="B342" s="13" t="n">
        <v>45486</v>
      </c>
      <c r="C342" t="inlineStr">
        <is>
          <t>EUR_Operating</t>
        </is>
      </c>
      <c r="D342" t="inlineStr">
        <is>
          <t>EUR</t>
        </is>
      </c>
      <c r="E342" t="inlineStr">
        <is>
          <t>debit</t>
        </is>
      </c>
      <c r="F342" t="n">
        <v>1893.02</v>
      </c>
      <c r="G342" t="inlineStr">
        <is>
          <t>Supplier Payment</t>
        </is>
      </c>
      <c r="H342" t="inlineStr">
        <is>
          <t>Vend_B</t>
        </is>
      </c>
      <c r="I342" t="inlineStr">
        <is>
          <t>2024-07</t>
        </is>
      </c>
    </row>
    <row r="343">
      <c r="A343" t="n">
        <v>342</v>
      </c>
      <c r="B343" s="13" t="n">
        <v>45486</v>
      </c>
      <c r="C343" t="inlineStr">
        <is>
          <t>EUR_Operating</t>
        </is>
      </c>
      <c r="D343" t="inlineStr">
        <is>
          <t>EUR</t>
        </is>
      </c>
      <c r="E343" t="inlineStr">
        <is>
          <t>debit</t>
        </is>
      </c>
      <c r="F343" t="n">
        <v>6999.93</v>
      </c>
      <c r="G343" t="inlineStr">
        <is>
          <t>Supplier Payment</t>
        </is>
      </c>
      <c r="H343" t="inlineStr">
        <is>
          <t>Vend_B</t>
        </is>
      </c>
      <c r="I343" t="inlineStr">
        <is>
          <t>2024-07</t>
        </is>
      </c>
    </row>
    <row r="344">
      <c r="A344" t="n">
        <v>343</v>
      </c>
      <c r="B344" s="13" t="n">
        <v>45486</v>
      </c>
      <c r="C344" t="inlineStr">
        <is>
          <t>EUR_Operating</t>
        </is>
      </c>
      <c r="D344" t="inlineStr">
        <is>
          <t>EUR</t>
        </is>
      </c>
      <c r="E344" t="inlineStr">
        <is>
          <t>debit</t>
        </is>
      </c>
      <c r="F344" t="n">
        <v>3584.55</v>
      </c>
      <c r="G344" t="inlineStr">
        <is>
          <t>Supplier Payment</t>
        </is>
      </c>
      <c r="H344" t="inlineStr">
        <is>
          <t>Vend_A</t>
        </is>
      </c>
      <c r="I344" t="inlineStr">
        <is>
          <t>2024-07</t>
        </is>
      </c>
    </row>
    <row r="345">
      <c r="A345" t="n">
        <v>344</v>
      </c>
      <c r="B345" s="13" t="n">
        <v>45487</v>
      </c>
      <c r="C345" t="inlineStr">
        <is>
          <t>EUR_Operating</t>
        </is>
      </c>
      <c r="D345" t="inlineStr">
        <is>
          <t>EUR</t>
        </is>
      </c>
      <c r="E345" t="inlineStr">
        <is>
          <t>credit</t>
        </is>
      </c>
      <c r="F345" t="n">
        <v>11374.51</v>
      </c>
      <c r="G345" t="inlineStr">
        <is>
          <t>Customer Payment</t>
        </is>
      </c>
      <c r="H345" t="inlineStr">
        <is>
          <t>Cust_D</t>
        </is>
      </c>
      <c r="I345" t="inlineStr">
        <is>
          <t>2024-07</t>
        </is>
      </c>
    </row>
    <row r="346">
      <c r="A346" t="n">
        <v>345</v>
      </c>
      <c r="B346" s="13" t="n">
        <v>45488</v>
      </c>
      <c r="C346" t="inlineStr">
        <is>
          <t>USD_Sales</t>
        </is>
      </c>
      <c r="D346" t="inlineStr">
        <is>
          <t>USD</t>
        </is>
      </c>
      <c r="E346" t="inlineStr">
        <is>
          <t>debit</t>
        </is>
      </c>
      <c r="F346" t="n">
        <v>11189.81</v>
      </c>
      <c r="G346" t="inlineStr">
        <is>
          <t>Supplier Payment</t>
        </is>
      </c>
      <c r="H346" t="inlineStr">
        <is>
          <t>Vend_B</t>
        </is>
      </c>
      <c r="I346" t="inlineStr">
        <is>
          <t>2024-07</t>
        </is>
      </c>
    </row>
    <row r="347">
      <c r="A347" t="n">
        <v>346</v>
      </c>
      <c r="B347" s="13" t="n">
        <v>45488</v>
      </c>
      <c r="C347" t="inlineStr">
        <is>
          <t>EUR_Operating</t>
        </is>
      </c>
      <c r="D347" t="inlineStr">
        <is>
          <t>EUR</t>
        </is>
      </c>
      <c r="E347" t="inlineStr">
        <is>
          <t>debit</t>
        </is>
      </c>
      <c r="F347" t="n">
        <v>38.81</v>
      </c>
      <c r="G347" t="inlineStr">
        <is>
          <t>Bank Fee</t>
        </is>
      </c>
      <c r="H347" t="inlineStr">
        <is>
          <t>Bank</t>
        </is>
      </c>
      <c r="I347" t="inlineStr">
        <is>
          <t>2024-07</t>
        </is>
      </c>
    </row>
    <row r="348">
      <c r="A348" t="n">
        <v>347</v>
      </c>
      <c r="B348" s="13" t="n">
        <v>45489</v>
      </c>
      <c r="C348" t="inlineStr">
        <is>
          <t>EUR_Operating</t>
        </is>
      </c>
      <c r="D348" t="inlineStr">
        <is>
          <t>EUR</t>
        </is>
      </c>
      <c r="E348" t="inlineStr">
        <is>
          <t>credit</t>
        </is>
      </c>
      <c r="F348" t="n">
        <v>8872.18</v>
      </c>
      <c r="G348" t="inlineStr">
        <is>
          <t>Customer Payment</t>
        </is>
      </c>
      <c r="H348" t="inlineStr">
        <is>
          <t>Cust_D</t>
        </is>
      </c>
      <c r="I348" t="inlineStr">
        <is>
          <t>2024-07</t>
        </is>
      </c>
    </row>
    <row r="349">
      <c r="A349" t="n">
        <v>348</v>
      </c>
      <c r="B349" s="13" t="n">
        <v>45489</v>
      </c>
      <c r="C349" t="inlineStr">
        <is>
          <t>EUR_Operating</t>
        </is>
      </c>
      <c r="D349" t="inlineStr">
        <is>
          <t>EUR</t>
        </is>
      </c>
      <c r="E349" t="inlineStr">
        <is>
          <t>credit</t>
        </is>
      </c>
      <c r="F349" t="n">
        <v>10123.69</v>
      </c>
      <c r="G349" t="inlineStr">
        <is>
          <t>Customer Payment</t>
        </is>
      </c>
      <c r="H349" t="inlineStr">
        <is>
          <t>Cust_B</t>
        </is>
      </c>
      <c r="I349" t="inlineStr">
        <is>
          <t>2024-07</t>
        </is>
      </c>
    </row>
    <row r="350">
      <c r="A350" t="n">
        <v>349</v>
      </c>
      <c r="B350" s="13" t="n">
        <v>45489</v>
      </c>
      <c r="C350" t="inlineStr">
        <is>
          <t>EUR_Operating</t>
        </is>
      </c>
      <c r="D350" t="inlineStr">
        <is>
          <t>EUR</t>
        </is>
      </c>
      <c r="E350" t="inlineStr">
        <is>
          <t>credit</t>
        </is>
      </c>
      <c r="F350" t="n">
        <v>14855.64</v>
      </c>
      <c r="G350" t="inlineStr">
        <is>
          <t>Customer Payment</t>
        </is>
      </c>
      <c r="H350" t="inlineStr">
        <is>
          <t>Cust_B</t>
        </is>
      </c>
      <c r="I350" t="inlineStr">
        <is>
          <t>2024-07</t>
        </is>
      </c>
    </row>
    <row r="351">
      <c r="A351" t="n">
        <v>350</v>
      </c>
      <c r="B351" s="13" t="n">
        <v>45490</v>
      </c>
      <c r="C351" t="inlineStr">
        <is>
          <t>USD_Sales</t>
        </is>
      </c>
      <c r="D351" t="inlineStr">
        <is>
          <t>USD</t>
        </is>
      </c>
      <c r="E351" t="inlineStr">
        <is>
          <t>credit</t>
        </is>
      </c>
      <c r="F351" t="n">
        <v>13733.12</v>
      </c>
      <c r="G351" t="inlineStr">
        <is>
          <t>Customer Payment</t>
        </is>
      </c>
      <c r="H351" t="inlineStr">
        <is>
          <t>Cust_A</t>
        </is>
      </c>
      <c r="I351" t="inlineStr">
        <is>
          <t>2024-07</t>
        </is>
      </c>
    </row>
    <row r="352">
      <c r="A352" t="n">
        <v>351</v>
      </c>
      <c r="B352" s="13" t="n">
        <v>45490</v>
      </c>
      <c r="C352" t="inlineStr">
        <is>
          <t>EUR_Operating</t>
        </is>
      </c>
      <c r="D352" t="inlineStr">
        <is>
          <t>EUR</t>
        </is>
      </c>
      <c r="E352" t="inlineStr">
        <is>
          <t>debit</t>
        </is>
      </c>
      <c r="F352" t="n">
        <v>16927.59</v>
      </c>
      <c r="G352" t="inlineStr">
        <is>
          <t>Supplier Payment</t>
        </is>
      </c>
      <c r="H352" t="inlineStr">
        <is>
          <t>Vend_C</t>
        </is>
      </c>
      <c r="I352" t="inlineStr">
        <is>
          <t>2024-07</t>
        </is>
      </c>
    </row>
    <row r="353">
      <c r="A353" t="n">
        <v>352</v>
      </c>
      <c r="B353" s="13" t="n">
        <v>45490</v>
      </c>
      <c r="C353" t="inlineStr">
        <is>
          <t>EUR_Operating</t>
        </is>
      </c>
      <c r="D353" t="inlineStr">
        <is>
          <t>EUR</t>
        </is>
      </c>
      <c r="E353" t="inlineStr">
        <is>
          <t>debit</t>
        </is>
      </c>
      <c r="F353" t="n">
        <v>11331.11</v>
      </c>
      <c r="G353" t="inlineStr">
        <is>
          <t>Supplier Payment</t>
        </is>
      </c>
      <c r="H353" t="inlineStr">
        <is>
          <t>Vend_B</t>
        </is>
      </c>
      <c r="I353" t="inlineStr">
        <is>
          <t>2024-07</t>
        </is>
      </c>
    </row>
    <row r="354">
      <c r="A354" t="n">
        <v>353</v>
      </c>
      <c r="B354" s="13" t="n">
        <v>45491</v>
      </c>
      <c r="C354" t="inlineStr">
        <is>
          <t>EUR_Operating</t>
        </is>
      </c>
      <c r="D354" t="inlineStr">
        <is>
          <t>EUR</t>
        </is>
      </c>
      <c r="E354" t="inlineStr">
        <is>
          <t>credit</t>
        </is>
      </c>
      <c r="F354" t="n">
        <v>13809.07</v>
      </c>
      <c r="G354" t="inlineStr">
        <is>
          <t>Customer Payment</t>
        </is>
      </c>
      <c r="H354" t="inlineStr">
        <is>
          <t>Cust_D</t>
        </is>
      </c>
      <c r="I354" t="inlineStr">
        <is>
          <t>2024-07</t>
        </is>
      </c>
    </row>
    <row r="355">
      <c r="A355" t="n">
        <v>354</v>
      </c>
      <c r="B355" s="13" t="n">
        <v>45491</v>
      </c>
      <c r="C355" t="inlineStr">
        <is>
          <t>EUR_Operating</t>
        </is>
      </c>
      <c r="D355" t="inlineStr">
        <is>
          <t>EUR</t>
        </is>
      </c>
      <c r="E355" t="inlineStr">
        <is>
          <t>debit</t>
        </is>
      </c>
      <c r="F355" t="n">
        <v>3606.94</v>
      </c>
      <c r="G355" t="inlineStr">
        <is>
          <t>Supplier Payment</t>
        </is>
      </c>
      <c r="H355" t="inlineStr">
        <is>
          <t>Vend_A</t>
        </is>
      </c>
      <c r="I355" t="inlineStr">
        <is>
          <t>2024-07</t>
        </is>
      </c>
    </row>
    <row r="356">
      <c r="A356" t="n">
        <v>355</v>
      </c>
      <c r="B356" s="13" t="n">
        <v>45493</v>
      </c>
      <c r="C356" t="inlineStr">
        <is>
          <t>EUR_Operating</t>
        </is>
      </c>
      <c r="D356" t="inlineStr">
        <is>
          <t>EUR</t>
        </is>
      </c>
      <c r="E356" t="inlineStr">
        <is>
          <t>credit</t>
        </is>
      </c>
      <c r="F356" t="n">
        <v>9770.33</v>
      </c>
      <c r="G356" t="inlineStr">
        <is>
          <t>Customer Payment</t>
        </is>
      </c>
      <c r="H356" t="inlineStr">
        <is>
          <t>Cust_A</t>
        </is>
      </c>
      <c r="I356" t="inlineStr">
        <is>
          <t>2024-07</t>
        </is>
      </c>
    </row>
    <row r="357">
      <c r="A357" t="n">
        <v>356</v>
      </c>
      <c r="B357" s="13" t="n">
        <v>45493</v>
      </c>
      <c r="C357" t="inlineStr">
        <is>
          <t>JPY_Sales</t>
        </is>
      </c>
      <c r="D357" t="inlineStr">
        <is>
          <t>JPY</t>
        </is>
      </c>
      <c r="E357" t="inlineStr">
        <is>
          <t>credit</t>
        </is>
      </c>
      <c r="F357" t="n">
        <v>1506102</v>
      </c>
      <c r="G357" t="inlineStr">
        <is>
          <t>Customer Payment</t>
        </is>
      </c>
      <c r="H357" t="inlineStr">
        <is>
          <t>Cust_C</t>
        </is>
      </c>
      <c r="I357" t="inlineStr">
        <is>
          <t>2024-07</t>
        </is>
      </c>
    </row>
    <row r="358">
      <c r="A358" t="n">
        <v>357</v>
      </c>
      <c r="B358" s="13" t="n">
        <v>45493</v>
      </c>
      <c r="C358" t="inlineStr">
        <is>
          <t>EUR_Operating</t>
        </is>
      </c>
      <c r="D358" t="inlineStr">
        <is>
          <t>EUR</t>
        </is>
      </c>
      <c r="E358" t="inlineStr">
        <is>
          <t>debit</t>
        </is>
      </c>
      <c r="F358" t="n">
        <v>3466.15</v>
      </c>
      <c r="G358" t="inlineStr">
        <is>
          <t>Supplier Payment</t>
        </is>
      </c>
      <c r="H358" t="inlineStr">
        <is>
          <t>Vend_A</t>
        </is>
      </c>
      <c r="I358" t="inlineStr">
        <is>
          <t>2024-07</t>
        </is>
      </c>
    </row>
    <row r="359">
      <c r="A359" t="n">
        <v>358</v>
      </c>
      <c r="B359" s="13" t="n">
        <v>45494</v>
      </c>
      <c r="C359" t="inlineStr">
        <is>
          <t>EUR_Operating</t>
        </is>
      </c>
      <c r="D359" t="inlineStr">
        <is>
          <t>EUR</t>
        </is>
      </c>
      <c r="E359" t="inlineStr">
        <is>
          <t>credit</t>
        </is>
      </c>
      <c r="F359" t="n">
        <v>6876.53</v>
      </c>
      <c r="G359" t="inlineStr">
        <is>
          <t>Customer Payment</t>
        </is>
      </c>
      <c r="H359" t="inlineStr">
        <is>
          <t>Cust_C</t>
        </is>
      </c>
      <c r="I359" t="inlineStr">
        <is>
          <t>2024-07</t>
        </is>
      </c>
    </row>
    <row r="360">
      <c r="A360" t="n">
        <v>359</v>
      </c>
      <c r="B360" s="13" t="n">
        <v>45494</v>
      </c>
      <c r="C360" t="inlineStr">
        <is>
          <t>EUR_Operating</t>
        </is>
      </c>
      <c r="D360" t="inlineStr">
        <is>
          <t>EUR</t>
        </is>
      </c>
      <c r="E360" t="inlineStr">
        <is>
          <t>credit</t>
        </is>
      </c>
      <c r="F360" t="n">
        <v>10874.32</v>
      </c>
      <c r="G360" t="inlineStr">
        <is>
          <t>Customer Payment</t>
        </is>
      </c>
      <c r="H360" t="inlineStr">
        <is>
          <t>Cust_A</t>
        </is>
      </c>
      <c r="I360" t="inlineStr">
        <is>
          <t>2024-07</t>
        </is>
      </c>
    </row>
    <row r="361">
      <c r="A361" t="n">
        <v>360</v>
      </c>
      <c r="B361" s="13" t="n">
        <v>45494</v>
      </c>
      <c r="C361" t="inlineStr">
        <is>
          <t>JPY_Sales</t>
        </is>
      </c>
      <c r="D361" t="inlineStr">
        <is>
          <t>JPY</t>
        </is>
      </c>
      <c r="E361" t="inlineStr">
        <is>
          <t>debit</t>
        </is>
      </c>
      <c r="F361" t="n">
        <v>4394.66</v>
      </c>
      <c r="G361" t="inlineStr">
        <is>
          <t>Supplier Payment</t>
        </is>
      </c>
      <c r="H361" t="inlineStr">
        <is>
          <t>Vend_C</t>
        </is>
      </c>
      <c r="I361" t="inlineStr">
        <is>
          <t>2024-07</t>
        </is>
      </c>
    </row>
    <row r="362">
      <c r="A362" t="n">
        <v>361</v>
      </c>
      <c r="B362" s="13" t="n">
        <v>45495</v>
      </c>
      <c r="C362" t="inlineStr">
        <is>
          <t>EUR_Operating</t>
        </is>
      </c>
      <c r="D362" t="inlineStr">
        <is>
          <t>EUR</t>
        </is>
      </c>
      <c r="E362" t="inlineStr">
        <is>
          <t>credit</t>
        </is>
      </c>
      <c r="F362" t="n">
        <v>4404.39</v>
      </c>
      <c r="G362" t="inlineStr">
        <is>
          <t>Customer Payment</t>
        </is>
      </c>
      <c r="H362" t="inlineStr">
        <is>
          <t>Cust_C</t>
        </is>
      </c>
      <c r="I362" t="inlineStr">
        <is>
          <t>2024-07</t>
        </is>
      </c>
    </row>
    <row r="363">
      <c r="A363" t="n">
        <v>362</v>
      </c>
      <c r="B363" s="13" t="n">
        <v>45496</v>
      </c>
      <c r="C363" t="inlineStr">
        <is>
          <t>USD_Sales</t>
        </is>
      </c>
      <c r="D363" t="inlineStr">
        <is>
          <t>USD</t>
        </is>
      </c>
      <c r="E363" t="inlineStr">
        <is>
          <t>credit</t>
        </is>
      </c>
      <c r="F363" t="n">
        <v>16849.6</v>
      </c>
      <c r="G363" t="inlineStr">
        <is>
          <t>Customer Payment</t>
        </is>
      </c>
      <c r="H363" t="inlineStr">
        <is>
          <t>Cust_D</t>
        </is>
      </c>
      <c r="I363" t="inlineStr">
        <is>
          <t>2024-07</t>
        </is>
      </c>
    </row>
    <row r="364">
      <c r="A364" t="n">
        <v>363</v>
      </c>
      <c r="B364" s="13" t="n">
        <v>45496</v>
      </c>
      <c r="C364" t="inlineStr">
        <is>
          <t>EUR_Operating</t>
        </is>
      </c>
      <c r="D364" t="inlineStr">
        <is>
          <t>EUR</t>
        </is>
      </c>
      <c r="E364" t="inlineStr">
        <is>
          <t>credit</t>
        </is>
      </c>
      <c r="F364" t="n">
        <v>6274.1</v>
      </c>
      <c r="G364" t="inlineStr">
        <is>
          <t>Customer Payment</t>
        </is>
      </c>
      <c r="H364" t="inlineStr">
        <is>
          <t>Cust_C</t>
        </is>
      </c>
      <c r="I364" t="inlineStr">
        <is>
          <t>2024-07</t>
        </is>
      </c>
    </row>
    <row r="365">
      <c r="A365" t="n">
        <v>364</v>
      </c>
      <c r="B365" s="13" t="n">
        <v>45496</v>
      </c>
      <c r="C365" t="inlineStr">
        <is>
          <t>EUR_Operating</t>
        </is>
      </c>
      <c r="D365" t="inlineStr">
        <is>
          <t>EUR</t>
        </is>
      </c>
      <c r="E365" t="inlineStr">
        <is>
          <t>debit</t>
        </is>
      </c>
      <c r="F365" t="n">
        <v>8332.709999999999</v>
      </c>
      <c r="G365" t="inlineStr">
        <is>
          <t>Supplier Payment</t>
        </is>
      </c>
      <c r="H365" t="inlineStr">
        <is>
          <t>Vend_A</t>
        </is>
      </c>
      <c r="I365" t="inlineStr">
        <is>
          <t>2024-07</t>
        </is>
      </c>
    </row>
    <row r="366">
      <c r="A366" t="n">
        <v>365</v>
      </c>
      <c r="B366" s="13" t="n">
        <v>45496</v>
      </c>
      <c r="C366" t="inlineStr">
        <is>
          <t>EUR_Operating</t>
        </is>
      </c>
      <c r="D366" t="inlineStr">
        <is>
          <t>EUR</t>
        </is>
      </c>
      <c r="E366" t="inlineStr">
        <is>
          <t>debit</t>
        </is>
      </c>
      <c r="F366" t="n">
        <v>94.27</v>
      </c>
      <c r="G366" t="inlineStr">
        <is>
          <t>Bank Fee</t>
        </is>
      </c>
      <c r="H366" t="inlineStr">
        <is>
          <t>Bank</t>
        </is>
      </c>
      <c r="I366" t="inlineStr">
        <is>
          <t>2024-07</t>
        </is>
      </c>
    </row>
    <row r="367">
      <c r="A367" t="n">
        <v>366</v>
      </c>
      <c r="B367" s="13" t="n">
        <v>45497</v>
      </c>
      <c r="C367" t="inlineStr">
        <is>
          <t>EUR_Operating</t>
        </is>
      </c>
      <c r="D367" t="inlineStr">
        <is>
          <t>EUR</t>
        </is>
      </c>
      <c r="E367" t="inlineStr">
        <is>
          <t>credit</t>
        </is>
      </c>
      <c r="F367" t="n">
        <v>7102.45</v>
      </c>
      <c r="G367" t="inlineStr">
        <is>
          <t>Customer Payment</t>
        </is>
      </c>
      <c r="H367" t="inlineStr">
        <is>
          <t>Cust_B</t>
        </is>
      </c>
      <c r="I367" t="inlineStr">
        <is>
          <t>2024-07</t>
        </is>
      </c>
    </row>
    <row r="368">
      <c r="A368" t="n">
        <v>367</v>
      </c>
      <c r="B368" s="13" t="n">
        <v>45497</v>
      </c>
      <c r="C368" t="inlineStr">
        <is>
          <t>EUR_Operating</t>
        </is>
      </c>
      <c r="D368" t="inlineStr">
        <is>
          <t>EUR</t>
        </is>
      </c>
      <c r="E368" t="inlineStr">
        <is>
          <t>credit</t>
        </is>
      </c>
      <c r="F368" t="n">
        <v>7558.24</v>
      </c>
      <c r="G368" t="inlineStr">
        <is>
          <t>Customer Payment</t>
        </is>
      </c>
      <c r="H368" t="inlineStr">
        <is>
          <t>Cust_D</t>
        </is>
      </c>
      <c r="I368" t="inlineStr">
        <is>
          <t>2024-07</t>
        </is>
      </c>
    </row>
    <row r="369">
      <c r="A369" t="n">
        <v>368</v>
      </c>
      <c r="B369" s="13" t="n">
        <v>45497</v>
      </c>
      <c r="C369" t="inlineStr">
        <is>
          <t>EUR_Operating</t>
        </is>
      </c>
      <c r="D369" t="inlineStr">
        <is>
          <t>EUR</t>
        </is>
      </c>
      <c r="E369" t="inlineStr">
        <is>
          <t>debit</t>
        </is>
      </c>
      <c r="F369" t="n">
        <v>16985.89</v>
      </c>
      <c r="G369" t="inlineStr">
        <is>
          <t>Supplier Payment</t>
        </is>
      </c>
      <c r="H369" t="inlineStr">
        <is>
          <t>Vend_C</t>
        </is>
      </c>
      <c r="I369" t="inlineStr">
        <is>
          <t>2024-07</t>
        </is>
      </c>
    </row>
    <row r="370">
      <c r="A370" t="n">
        <v>369</v>
      </c>
      <c r="B370" s="13" t="n">
        <v>45498</v>
      </c>
      <c r="C370" t="inlineStr">
        <is>
          <t>EUR_Operating</t>
        </is>
      </c>
      <c r="D370" t="inlineStr">
        <is>
          <t>EUR</t>
        </is>
      </c>
      <c r="E370" t="inlineStr">
        <is>
          <t>credit</t>
        </is>
      </c>
      <c r="F370" t="n">
        <v>15321.2</v>
      </c>
      <c r="G370" t="inlineStr">
        <is>
          <t>Customer Payment</t>
        </is>
      </c>
      <c r="H370" t="inlineStr">
        <is>
          <t>Cust_D</t>
        </is>
      </c>
      <c r="I370" t="inlineStr">
        <is>
          <t>2024-07</t>
        </is>
      </c>
    </row>
    <row r="371">
      <c r="A371" t="n">
        <v>370</v>
      </c>
      <c r="B371" s="13" t="n">
        <v>45498</v>
      </c>
      <c r="C371" t="inlineStr">
        <is>
          <t>JPY_Sales</t>
        </is>
      </c>
      <c r="D371" t="inlineStr">
        <is>
          <t>JPY</t>
        </is>
      </c>
      <c r="E371" t="inlineStr">
        <is>
          <t>credit</t>
        </is>
      </c>
      <c r="F371" t="n">
        <v>468487</v>
      </c>
      <c r="G371" t="inlineStr">
        <is>
          <t>Customer Payment</t>
        </is>
      </c>
      <c r="H371" t="inlineStr">
        <is>
          <t>Cust_B</t>
        </is>
      </c>
      <c r="I371" t="inlineStr">
        <is>
          <t>2024-07</t>
        </is>
      </c>
    </row>
    <row r="372">
      <c r="A372" t="n">
        <v>371</v>
      </c>
      <c r="B372" s="13" t="n">
        <v>45498</v>
      </c>
      <c r="C372" t="inlineStr">
        <is>
          <t>EUR_Operating</t>
        </is>
      </c>
      <c r="D372" t="inlineStr">
        <is>
          <t>EUR</t>
        </is>
      </c>
      <c r="E372" t="inlineStr">
        <is>
          <t>debit</t>
        </is>
      </c>
      <c r="F372" t="n">
        <v>1644.46</v>
      </c>
      <c r="G372" t="inlineStr">
        <is>
          <t>Supplier Payment</t>
        </is>
      </c>
      <c r="H372" t="inlineStr">
        <is>
          <t>Vend_A</t>
        </is>
      </c>
      <c r="I372" t="inlineStr">
        <is>
          <t>2024-07</t>
        </is>
      </c>
    </row>
    <row r="373">
      <c r="A373" t="n">
        <v>372</v>
      </c>
      <c r="B373" s="13" t="n">
        <v>45498</v>
      </c>
      <c r="C373" t="inlineStr">
        <is>
          <t>EUR_Operating</t>
        </is>
      </c>
      <c r="D373" t="inlineStr">
        <is>
          <t>EUR</t>
        </is>
      </c>
      <c r="E373" t="inlineStr">
        <is>
          <t>debit</t>
        </is>
      </c>
      <c r="F373" t="n">
        <v>3161.6</v>
      </c>
      <c r="G373" t="inlineStr">
        <is>
          <t>Supplier Payment</t>
        </is>
      </c>
      <c r="H373" t="inlineStr">
        <is>
          <t>Vend_A</t>
        </is>
      </c>
      <c r="I373" t="inlineStr">
        <is>
          <t>2024-07</t>
        </is>
      </c>
    </row>
    <row r="374">
      <c r="A374" t="n">
        <v>373</v>
      </c>
      <c r="B374" s="13" t="n">
        <v>45498</v>
      </c>
      <c r="C374" t="inlineStr">
        <is>
          <t>EUR_Payroll</t>
        </is>
      </c>
      <c r="D374" t="inlineStr">
        <is>
          <t>EUR</t>
        </is>
      </c>
      <c r="E374" t="inlineStr">
        <is>
          <t>debit</t>
        </is>
      </c>
      <c r="F374" t="n">
        <v>125414.17</v>
      </c>
      <c r="G374" t="inlineStr">
        <is>
          <t>Payroll</t>
        </is>
      </c>
      <c r="H374" t="inlineStr">
        <is>
          <t>Payroll</t>
        </is>
      </c>
      <c r="I374" t="inlineStr">
        <is>
          <t>2024-07</t>
        </is>
      </c>
    </row>
    <row r="375">
      <c r="A375" t="n">
        <v>374</v>
      </c>
      <c r="B375" s="13" t="n">
        <v>45498</v>
      </c>
      <c r="C375" t="inlineStr">
        <is>
          <t>EUR_Operating</t>
        </is>
      </c>
      <c r="D375" t="inlineStr">
        <is>
          <t>EUR</t>
        </is>
      </c>
      <c r="E375" t="inlineStr">
        <is>
          <t>debit</t>
        </is>
      </c>
      <c r="F375" t="n">
        <v>125414.17</v>
      </c>
      <c r="G375" t="inlineStr">
        <is>
          <t>Transfer to Payroll</t>
        </is>
      </c>
      <c r="H375" t="inlineStr">
        <is>
          <t>Payroll</t>
        </is>
      </c>
      <c r="I375" t="inlineStr">
        <is>
          <t>2024-07</t>
        </is>
      </c>
    </row>
    <row r="376">
      <c r="A376" t="n">
        <v>375</v>
      </c>
      <c r="B376" s="13" t="n">
        <v>45499</v>
      </c>
      <c r="C376" t="inlineStr">
        <is>
          <t>EUR_Operating</t>
        </is>
      </c>
      <c r="D376" t="inlineStr">
        <is>
          <t>EUR</t>
        </is>
      </c>
      <c r="E376" t="inlineStr">
        <is>
          <t>credit</t>
        </is>
      </c>
      <c r="F376" t="n">
        <v>14006.66</v>
      </c>
      <c r="G376" t="inlineStr">
        <is>
          <t>Customer Payment</t>
        </is>
      </c>
      <c r="H376" t="inlineStr">
        <is>
          <t>Cust_A</t>
        </is>
      </c>
      <c r="I376" t="inlineStr">
        <is>
          <t>2024-07</t>
        </is>
      </c>
    </row>
    <row r="377">
      <c r="A377" t="n">
        <v>376</v>
      </c>
      <c r="B377" s="13" t="n">
        <v>45499</v>
      </c>
      <c r="C377" t="inlineStr">
        <is>
          <t>EUR_Operating</t>
        </is>
      </c>
      <c r="D377" t="inlineStr">
        <is>
          <t>EUR</t>
        </is>
      </c>
      <c r="E377" t="inlineStr">
        <is>
          <t>debit</t>
        </is>
      </c>
      <c r="F377" t="n">
        <v>2441.62</v>
      </c>
      <c r="G377" t="inlineStr">
        <is>
          <t>Supplier Payment</t>
        </is>
      </c>
      <c r="H377" t="inlineStr">
        <is>
          <t>Vend_C</t>
        </is>
      </c>
      <c r="I377" t="inlineStr">
        <is>
          <t>2024-07</t>
        </is>
      </c>
    </row>
    <row r="378">
      <c r="A378" t="n">
        <v>377</v>
      </c>
      <c r="B378" s="13" t="n">
        <v>45500</v>
      </c>
      <c r="C378" t="inlineStr">
        <is>
          <t>USD_Sales</t>
        </is>
      </c>
      <c r="D378" t="inlineStr">
        <is>
          <t>USD</t>
        </is>
      </c>
      <c r="E378" t="inlineStr">
        <is>
          <t>credit</t>
        </is>
      </c>
      <c r="F378" t="n">
        <v>7423.71</v>
      </c>
      <c r="G378" t="inlineStr">
        <is>
          <t>Customer Payment</t>
        </is>
      </c>
      <c r="H378" t="inlineStr">
        <is>
          <t>Cust_D</t>
        </is>
      </c>
      <c r="I378" t="inlineStr">
        <is>
          <t>2024-07</t>
        </is>
      </c>
    </row>
    <row r="379">
      <c r="A379" t="n">
        <v>378</v>
      </c>
      <c r="B379" s="13" t="n">
        <v>45501</v>
      </c>
      <c r="C379" t="inlineStr">
        <is>
          <t>USD_Sales</t>
        </is>
      </c>
      <c r="D379" t="inlineStr">
        <is>
          <t>USD</t>
        </is>
      </c>
      <c r="E379" t="inlineStr">
        <is>
          <t>credit</t>
        </is>
      </c>
      <c r="F379" t="n">
        <v>21221.57</v>
      </c>
      <c r="G379" t="inlineStr">
        <is>
          <t>Customer Payment</t>
        </is>
      </c>
      <c r="H379" t="inlineStr">
        <is>
          <t>Cust_A</t>
        </is>
      </c>
      <c r="I379" t="inlineStr">
        <is>
          <t>2024-07</t>
        </is>
      </c>
    </row>
    <row r="380">
      <c r="A380" t="n">
        <v>379</v>
      </c>
      <c r="B380" s="13" t="n">
        <v>45501</v>
      </c>
      <c r="C380" t="inlineStr">
        <is>
          <t>JPY_Sales</t>
        </is>
      </c>
      <c r="D380" t="inlineStr">
        <is>
          <t>JPY</t>
        </is>
      </c>
      <c r="E380" t="inlineStr">
        <is>
          <t>credit</t>
        </is>
      </c>
      <c r="F380" t="n">
        <v>2124556</v>
      </c>
      <c r="G380" t="inlineStr">
        <is>
          <t>Customer Payment</t>
        </is>
      </c>
      <c r="H380" t="inlineStr">
        <is>
          <t>Cust_D</t>
        </is>
      </c>
      <c r="I380" t="inlineStr">
        <is>
          <t>2024-07</t>
        </is>
      </c>
    </row>
    <row r="381">
      <c r="A381" t="n">
        <v>380</v>
      </c>
      <c r="B381" s="13" t="n">
        <v>45502</v>
      </c>
      <c r="C381" t="inlineStr">
        <is>
          <t>EUR_Operating</t>
        </is>
      </c>
      <c r="D381" t="inlineStr">
        <is>
          <t>EUR</t>
        </is>
      </c>
      <c r="E381" t="inlineStr">
        <is>
          <t>credit</t>
        </is>
      </c>
      <c r="F381" t="n">
        <v>7702.01</v>
      </c>
      <c r="G381" t="inlineStr">
        <is>
          <t>Customer Payment</t>
        </is>
      </c>
      <c r="H381" t="inlineStr">
        <is>
          <t>Cust_D</t>
        </is>
      </c>
      <c r="I381" t="inlineStr">
        <is>
          <t>2024-07</t>
        </is>
      </c>
    </row>
    <row r="382">
      <c r="A382" t="n">
        <v>381</v>
      </c>
      <c r="B382" s="13" t="n">
        <v>45502</v>
      </c>
      <c r="C382" t="inlineStr">
        <is>
          <t>EUR_Operating</t>
        </is>
      </c>
      <c r="D382" t="inlineStr">
        <is>
          <t>EUR</t>
        </is>
      </c>
      <c r="E382" t="inlineStr">
        <is>
          <t>debit</t>
        </is>
      </c>
      <c r="F382" t="n">
        <v>7203.05</v>
      </c>
      <c r="G382" t="inlineStr">
        <is>
          <t>Supplier Payment</t>
        </is>
      </c>
      <c r="H382" t="inlineStr">
        <is>
          <t>Vend_C</t>
        </is>
      </c>
      <c r="I382" t="inlineStr">
        <is>
          <t>2024-07</t>
        </is>
      </c>
    </row>
    <row r="383">
      <c r="A383" t="n">
        <v>382</v>
      </c>
      <c r="B383" s="13" t="n">
        <v>45503</v>
      </c>
      <c r="C383" t="inlineStr">
        <is>
          <t>JPY_Sales</t>
        </is>
      </c>
      <c r="D383" t="inlineStr">
        <is>
          <t>JPY</t>
        </is>
      </c>
      <c r="E383" t="inlineStr">
        <is>
          <t>credit</t>
        </is>
      </c>
      <c r="F383" t="n">
        <v>782929</v>
      </c>
      <c r="G383" t="inlineStr">
        <is>
          <t>Customer Payment</t>
        </is>
      </c>
      <c r="H383" t="inlineStr">
        <is>
          <t>Cust_D</t>
        </is>
      </c>
      <c r="I383" t="inlineStr">
        <is>
          <t>2024-07</t>
        </is>
      </c>
    </row>
    <row r="384">
      <c r="A384" t="n">
        <v>383</v>
      </c>
      <c r="B384" s="13" t="n">
        <v>45503</v>
      </c>
      <c r="C384" t="inlineStr">
        <is>
          <t>EUR_Operating</t>
        </is>
      </c>
      <c r="D384" t="inlineStr">
        <is>
          <t>EUR</t>
        </is>
      </c>
      <c r="E384" t="inlineStr">
        <is>
          <t>credit</t>
        </is>
      </c>
      <c r="F384" t="n">
        <v>10891.71</v>
      </c>
      <c r="G384" t="inlineStr">
        <is>
          <t>Customer Payment</t>
        </is>
      </c>
      <c r="H384" t="inlineStr">
        <is>
          <t>Cust_A</t>
        </is>
      </c>
      <c r="I384" t="inlineStr">
        <is>
          <t>2024-07</t>
        </is>
      </c>
    </row>
    <row r="385">
      <c r="A385" t="n">
        <v>384</v>
      </c>
      <c r="B385" s="13" t="n">
        <v>45503</v>
      </c>
      <c r="C385" t="inlineStr">
        <is>
          <t>EUR_Operating</t>
        </is>
      </c>
      <c r="D385" t="inlineStr">
        <is>
          <t>EUR</t>
        </is>
      </c>
      <c r="E385" t="inlineStr">
        <is>
          <t>debit</t>
        </is>
      </c>
      <c r="F385" t="n">
        <v>3844.29</v>
      </c>
      <c r="G385" t="inlineStr">
        <is>
          <t>Supplier Payment</t>
        </is>
      </c>
      <c r="H385" t="inlineStr">
        <is>
          <t>Vend_A</t>
        </is>
      </c>
      <c r="I385" t="inlineStr">
        <is>
          <t>2024-07</t>
        </is>
      </c>
    </row>
    <row r="386">
      <c r="A386" t="n">
        <v>385</v>
      </c>
      <c r="B386" s="13" t="n">
        <v>45504</v>
      </c>
      <c r="C386" t="inlineStr">
        <is>
          <t>EUR_Operating</t>
        </is>
      </c>
      <c r="D386" t="inlineStr">
        <is>
          <t>EUR</t>
        </is>
      </c>
      <c r="E386" t="inlineStr">
        <is>
          <t>debit</t>
        </is>
      </c>
      <c r="F386" t="n">
        <v>3792.98</v>
      </c>
      <c r="G386" t="inlineStr">
        <is>
          <t>Supplier Payment</t>
        </is>
      </c>
      <c r="H386" t="inlineStr">
        <is>
          <t>Vend_A</t>
        </is>
      </c>
      <c r="I386" t="inlineStr">
        <is>
          <t>2024-07</t>
        </is>
      </c>
    </row>
    <row r="387">
      <c r="A387" t="n">
        <v>386</v>
      </c>
      <c r="B387" s="13" t="n">
        <v>45505</v>
      </c>
      <c r="C387" t="inlineStr">
        <is>
          <t>EUR_Operating</t>
        </is>
      </c>
      <c r="D387" t="inlineStr">
        <is>
          <t>EUR</t>
        </is>
      </c>
      <c r="E387" t="inlineStr">
        <is>
          <t>debit</t>
        </is>
      </c>
      <c r="F387" t="n">
        <v>7557.18</v>
      </c>
      <c r="G387" t="inlineStr">
        <is>
          <t>Supplier Payment</t>
        </is>
      </c>
      <c r="H387" t="inlineStr">
        <is>
          <t>Vend_B</t>
        </is>
      </c>
      <c r="I387" t="inlineStr">
        <is>
          <t>2024-08</t>
        </is>
      </c>
    </row>
    <row r="388">
      <c r="A388" t="n">
        <v>387</v>
      </c>
      <c r="B388" s="13" t="n">
        <v>45505</v>
      </c>
      <c r="C388" t="inlineStr">
        <is>
          <t>EUR_Operating</t>
        </is>
      </c>
      <c r="D388" t="inlineStr">
        <is>
          <t>EUR</t>
        </is>
      </c>
      <c r="E388" t="inlineStr">
        <is>
          <t>debit</t>
        </is>
      </c>
      <c r="F388" t="n">
        <v>27145</v>
      </c>
      <c r="G388" t="inlineStr">
        <is>
          <t>Loan Interest</t>
        </is>
      </c>
      <c r="H388" t="inlineStr">
        <is>
          <t>Bank Loan</t>
        </is>
      </c>
      <c r="I388" t="inlineStr">
        <is>
          <t>2024-08</t>
        </is>
      </c>
    </row>
    <row r="389">
      <c r="A389" t="n">
        <v>388</v>
      </c>
      <c r="B389" s="13" t="n">
        <v>45506</v>
      </c>
      <c r="C389" t="inlineStr">
        <is>
          <t>EUR_Operating</t>
        </is>
      </c>
      <c r="D389" t="inlineStr">
        <is>
          <t>EUR</t>
        </is>
      </c>
      <c r="E389" t="inlineStr">
        <is>
          <t>credit</t>
        </is>
      </c>
      <c r="F389" t="n">
        <v>18000.43</v>
      </c>
      <c r="G389" t="inlineStr">
        <is>
          <t>Customer Payment</t>
        </is>
      </c>
      <c r="H389" t="inlineStr">
        <is>
          <t>Cust_B</t>
        </is>
      </c>
      <c r="I389" t="inlineStr">
        <is>
          <t>2024-08</t>
        </is>
      </c>
    </row>
    <row r="390">
      <c r="A390" t="n">
        <v>389</v>
      </c>
      <c r="B390" s="13" t="n">
        <v>45507</v>
      </c>
      <c r="C390" t="inlineStr">
        <is>
          <t>EUR_Operating</t>
        </is>
      </c>
      <c r="D390" t="inlineStr">
        <is>
          <t>EUR</t>
        </is>
      </c>
      <c r="E390" t="inlineStr">
        <is>
          <t>debit</t>
        </is>
      </c>
      <c r="F390" t="n">
        <v>3672.27</v>
      </c>
      <c r="G390" t="inlineStr">
        <is>
          <t>Supplier Payment</t>
        </is>
      </c>
      <c r="H390" t="inlineStr">
        <is>
          <t>Vend_A</t>
        </is>
      </c>
      <c r="I390" t="inlineStr">
        <is>
          <t>2024-08</t>
        </is>
      </c>
    </row>
    <row r="391">
      <c r="A391" t="n">
        <v>390</v>
      </c>
      <c r="B391" s="13" t="n">
        <v>45508</v>
      </c>
      <c r="C391" t="inlineStr">
        <is>
          <t>EUR_Operating</t>
        </is>
      </c>
      <c r="D391" t="inlineStr">
        <is>
          <t>EUR</t>
        </is>
      </c>
      <c r="E391" t="inlineStr">
        <is>
          <t>credit</t>
        </is>
      </c>
      <c r="F391" t="n">
        <v>7911.97</v>
      </c>
      <c r="G391" t="inlineStr">
        <is>
          <t>Customer Payment</t>
        </is>
      </c>
      <c r="H391" t="inlineStr">
        <is>
          <t>Cust_C</t>
        </is>
      </c>
      <c r="I391" t="inlineStr">
        <is>
          <t>2024-08</t>
        </is>
      </c>
    </row>
    <row r="392">
      <c r="A392" t="n">
        <v>391</v>
      </c>
      <c r="B392" s="13" t="n">
        <v>45508</v>
      </c>
      <c r="C392" t="inlineStr">
        <is>
          <t>EUR_Operating</t>
        </is>
      </c>
      <c r="D392" t="inlineStr">
        <is>
          <t>EUR</t>
        </is>
      </c>
      <c r="E392" t="inlineStr">
        <is>
          <t>credit</t>
        </is>
      </c>
      <c r="F392" t="n">
        <v>13030.57</v>
      </c>
      <c r="G392" t="inlineStr">
        <is>
          <t>Customer Payment</t>
        </is>
      </c>
      <c r="H392" t="inlineStr">
        <is>
          <t>Cust_C</t>
        </is>
      </c>
      <c r="I392" t="inlineStr">
        <is>
          <t>2024-08</t>
        </is>
      </c>
    </row>
    <row r="393">
      <c r="A393" t="n">
        <v>392</v>
      </c>
      <c r="B393" s="13" t="n">
        <v>45508</v>
      </c>
      <c r="C393" t="inlineStr">
        <is>
          <t>EUR_Operating</t>
        </is>
      </c>
      <c r="D393" t="inlineStr">
        <is>
          <t>EUR</t>
        </is>
      </c>
      <c r="E393" t="inlineStr">
        <is>
          <t>debit</t>
        </is>
      </c>
      <c r="F393" t="n">
        <v>4581.42</v>
      </c>
      <c r="G393" t="inlineStr">
        <is>
          <t>Supplier Payment</t>
        </is>
      </c>
      <c r="H393" t="inlineStr">
        <is>
          <t>Vend_C</t>
        </is>
      </c>
      <c r="I393" t="inlineStr">
        <is>
          <t>2024-08</t>
        </is>
      </c>
    </row>
    <row r="394">
      <c r="A394" t="n">
        <v>393</v>
      </c>
      <c r="B394" s="13" t="n">
        <v>45508</v>
      </c>
      <c r="C394" t="inlineStr">
        <is>
          <t>EUR_Operating</t>
        </is>
      </c>
      <c r="D394" t="inlineStr">
        <is>
          <t>EUR</t>
        </is>
      </c>
      <c r="E394" t="inlineStr">
        <is>
          <t>debit</t>
        </is>
      </c>
      <c r="F394" t="n">
        <v>13636.36</v>
      </c>
      <c r="G394" t="inlineStr">
        <is>
          <t>Supplier Payment</t>
        </is>
      </c>
      <c r="H394" t="inlineStr">
        <is>
          <t>Vend_B</t>
        </is>
      </c>
      <c r="I394" t="inlineStr">
        <is>
          <t>2024-08</t>
        </is>
      </c>
    </row>
    <row r="395">
      <c r="A395" t="n">
        <v>394</v>
      </c>
      <c r="B395" s="13" t="n">
        <v>45509</v>
      </c>
      <c r="C395" t="inlineStr">
        <is>
          <t>EUR_Operating</t>
        </is>
      </c>
      <c r="D395" t="inlineStr">
        <is>
          <t>EUR</t>
        </is>
      </c>
      <c r="E395" t="inlineStr">
        <is>
          <t>credit</t>
        </is>
      </c>
      <c r="F395" t="n">
        <v>9665.030000000001</v>
      </c>
      <c r="G395" t="inlineStr">
        <is>
          <t>Customer Payment</t>
        </is>
      </c>
      <c r="H395" t="inlineStr">
        <is>
          <t>Cust_B</t>
        </is>
      </c>
      <c r="I395" t="inlineStr">
        <is>
          <t>2024-08</t>
        </is>
      </c>
    </row>
    <row r="396">
      <c r="A396" t="n">
        <v>395</v>
      </c>
      <c r="B396" s="13" t="n">
        <v>45510</v>
      </c>
      <c r="C396" t="inlineStr">
        <is>
          <t>EUR_Operating</t>
        </is>
      </c>
      <c r="D396" t="inlineStr">
        <is>
          <t>EUR</t>
        </is>
      </c>
      <c r="E396" t="inlineStr">
        <is>
          <t>debit</t>
        </is>
      </c>
      <c r="F396" t="n">
        <v>3776.59</v>
      </c>
      <c r="G396" t="inlineStr">
        <is>
          <t>Supplier Payment</t>
        </is>
      </c>
      <c r="H396" t="inlineStr">
        <is>
          <t>Vend_C</t>
        </is>
      </c>
      <c r="I396" t="inlineStr">
        <is>
          <t>2024-08</t>
        </is>
      </c>
    </row>
    <row r="397">
      <c r="A397" t="n">
        <v>396</v>
      </c>
      <c r="B397" s="13" t="n">
        <v>45510</v>
      </c>
      <c r="C397" t="inlineStr">
        <is>
          <t>EUR_Operating</t>
        </is>
      </c>
      <c r="D397" t="inlineStr">
        <is>
          <t>EUR</t>
        </is>
      </c>
      <c r="E397" t="inlineStr">
        <is>
          <t>debit</t>
        </is>
      </c>
      <c r="F397" t="n">
        <v>5837.06</v>
      </c>
      <c r="G397" t="inlineStr">
        <is>
          <t>Supplier Payment</t>
        </is>
      </c>
      <c r="H397" t="inlineStr">
        <is>
          <t>Vend_C</t>
        </is>
      </c>
      <c r="I397" t="inlineStr">
        <is>
          <t>2024-08</t>
        </is>
      </c>
    </row>
    <row r="398">
      <c r="A398" t="n">
        <v>397</v>
      </c>
      <c r="B398" s="13" t="n">
        <v>45510</v>
      </c>
      <c r="C398" t="inlineStr">
        <is>
          <t>EUR_Operating</t>
        </is>
      </c>
      <c r="D398" t="inlineStr">
        <is>
          <t>EUR</t>
        </is>
      </c>
      <c r="E398" t="inlineStr">
        <is>
          <t>debit</t>
        </is>
      </c>
      <c r="F398" t="n">
        <v>20911.64</v>
      </c>
      <c r="G398" t="inlineStr">
        <is>
          <t>Supplier Payment</t>
        </is>
      </c>
      <c r="H398" t="inlineStr">
        <is>
          <t>Vend_A</t>
        </is>
      </c>
      <c r="I398" t="inlineStr">
        <is>
          <t>2024-08</t>
        </is>
      </c>
    </row>
    <row r="399">
      <c r="A399" t="n">
        <v>398</v>
      </c>
      <c r="B399" s="13" t="n">
        <v>45511</v>
      </c>
      <c r="C399" t="inlineStr">
        <is>
          <t>EUR_Operating</t>
        </is>
      </c>
      <c r="D399" t="inlineStr">
        <is>
          <t>EUR</t>
        </is>
      </c>
      <c r="E399" t="inlineStr">
        <is>
          <t>credit</t>
        </is>
      </c>
      <c r="F399" t="n">
        <v>22933.76</v>
      </c>
      <c r="G399" t="inlineStr">
        <is>
          <t>Customer Payment</t>
        </is>
      </c>
      <c r="H399" t="inlineStr">
        <is>
          <t>Cust_B</t>
        </is>
      </c>
      <c r="I399" t="inlineStr">
        <is>
          <t>2024-08</t>
        </is>
      </c>
    </row>
    <row r="400">
      <c r="A400" t="n">
        <v>399</v>
      </c>
      <c r="B400" s="13" t="n">
        <v>45511</v>
      </c>
      <c r="C400" t="inlineStr">
        <is>
          <t>EUR_Operating</t>
        </is>
      </c>
      <c r="D400" t="inlineStr">
        <is>
          <t>EUR</t>
        </is>
      </c>
      <c r="E400" t="inlineStr">
        <is>
          <t>credit</t>
        </is>
      </c>
      <c r="F400" t="n">
        <v>4226.09</v>
      </c>
      <c r="G400" t="inlineStr">
        <is>
          <t>Customer Payment</t>
        </is>
      </c>
      <c r="H400" t="inlineStr">
        <is>
          <t>Cust_D</t>
        </is>
      </c>
      <c r="I400" t="inlineStr">
        <is>
          <t>2024-08</t>
        </is>
      </c>
    </row>
    <row r="401">
      <c r="A401" t="n">
        <v>400</v>
      </c>
      <c r="B401" s="13" t="n">
        <v>45511</v>
      </c>
      <c r="C401" t="inlineStr">
        <is>
          <t>EUR_Operating</t>
        </is>
      </c>
      <c r="D401" t="inlineStr">
        <is>
          <t>EUR</t>
        </is>
      </c>
      <c r="E401" t="inlineStr">
        <is>
          <t>credit</t>
        </is>
      </c>
      <c r="F401" t="n">
        <v>12939.11</v>
      </c>
      <c r="G401" t="inlineStr">
        <is>
          <t>Customer Payment</t>
        </is>
      </c>
      <c r="H401" t="inlineStr">
        <is>
          <t>Cust_C</t>
        </is>
      </c>
      <c r="I401" t="inlineStr">
        <is>
          <t>2024-08</t>
        </is>
      </c>
    </row>
    <row r="402">
      <c r="A402" t="n">
        <v>401</v>
      </c>
      <c r="B402" s="13" t="n">
        <v>45514</v>
      </c>
      <c r="C402" t="inlineStr">
        <is>
          <t>EUR_Operating</t>
        </is>
      </c>
      <c r="D402" t="inlineStr">
        <is>
          <t>EUR</t>
        </is>
      </c>
      <c r="E402" t="inlineStr">
        <is>
          <t>credit</t>
        </is>
      </c>
      <c r="F402" t="n">
        <v>12520.06</v>
      </c>
      <c r="G402" t="inlineStr">
        <is>
          <t>Customer Payment</t>
        </is>
      </c>
      <c r="H402" t="inlineStr">
        <is>
          <t>Cust_A</t>
        </is>
      </c>
      <c r="I402" t="inlineStr">
        <is>
          <t>2024-08</t>
        </is>
      </c>
    </row>
    <row r="403">
      <c r="A403" t="n">
        <v>402</v>
      </c>
      <c r="B403" s="13" t="n">
        <v>45514</v>
      </c>
      <c r="C403" t="inlineStr">
        <is>
          <t>EUR_Operating</t>
        </is>
      </c>
      <c r="D403" t="inlineStr">
        <is>
          <t>EUR</t>
        </is>
      </c>
      <c r="E403" t="inlineStr">
        <is>
          <t>credit</t>
        </is>
      </c>
      <c r="F403" t="n">
        <v>18460.48</v>
      </c>
      <c r="G403" t="inlineStr">
        <is>
          <t>Customer Payment</t>
        </is>
      </c>
      <c r="H403" t="inlineStr">
        <is>
          <t>Cust_C</t>
        </is>
      </c>
      <c r="I403" t="inlineStr">
        <is>
          <t>2024-08</t>
        </is>
      </c>
    </row>
    <row r="404">
      <c r="A404" t="n">
        <v>403</v>
      </c>
      <c r="B404" s="13" t="n">
        <v>45514</v>
      </c>
      <c r="C404" t="inlineStr">
        <is>
          <t>EUR_Operating</t>
        </is>
      </c>
      <c r="D404" t="inlineStr">
        <is>
          <t>EUR</t>
        </is>
      </c>
      <c r="E404" t="inlineStr">
        <is>
          <t>debit</t>
        </is>
      </c>
      <c r="F404" t="n">
        <v>7060.62</v>
      </c>
      <c r="G404" t="inlineStr">
        <is>
          <t>Supplier Payment</t>
        </is>
      </c>
      <c r="H404" t="inlineStr">
        <is>
          <t>Vend_C</t>
        </is>
      </c>
      <c r="I404" t="inlineStr">
        <is>
          <t>2024-08</t>
        </is>
      </c>
    </row>
    <row r="405">
      <c r="A405" t="n">
        <v>404</v>
      </c>
      <c r="B405" s="13" t="n">
        <v>45514</v>
      </c>
      <c r="C405" t="inlineStr">
        <is>
          <t>EUR_Operating</t>
        </is>
      </c>
      <c r="D405" t="inlineStr">
        <is>
          <t>EUR</t>
        </is>
      </c>
      <c r="E405" t="inlineStr">
        <is>
          <t>debit</t>
        </is>
      </c>
      <c r="F405" t="n">
        <v>1169</v>
      </c>
      <c r="G405" t="inlineStr">
        <is>
          <t>Supplier Payment</t>
        </is>
      </c>
      <c r="H405" t="inlineStr">
        <is>
          <t>Vend_A</t>
        </is>
      </c>
      <c r="I405" t="inlineStr">
        <is>
          <t>2024-08</t>
        </is>
      </c>
    </row>
    <row r="406">
      <c r="A406" t="n">
        <v>405</v>
      </c>
      <c r="B406" s="13" t="n">
        <v>45514</v>
      </c>
      <c r="C406" t="inlineStr">
        <is>
          <t>EUR_Operating</t>
        </is>
      </c>
      <c r="D406" t="inlineStr">
        <is>
          <t>EUR</t>
        </is>
      </c>
      <c r="E406" t="inlineStr">
        <is>
          <t>debit</t>
        </is>
      </c>
      <c r="F406" t="n">
        <v>5973.47</v>
      </c>
      <c r="G406" t="inlineStr">
        <is>
          <t>Supplier Payment</t>
        </is>
      </c>
      <c r="H406" t="inlineStr">
        <is>
          <t>Vend_C</t>
        </is>
      </c>
      <c r="I406" t="inlineStr">
        <is>
          <t>2024-08</t>
        </is>
      </c>
    </row>
    <row r="407">
      <c r="A407" t="n">
        <v>406</v>
      </c>
      <c r="B407" s="13" t="n">
        <v>45515</v>
      </c>
      <c r="C407" t="inlineStr">
        <is>
          <t>EUR_Operating</t>
        </is>
      </c>
      <c r="D407" t="inlineStr">
        <is>
          <t>EUR</t>
        </is>
      </c>
      <c r="E407" t="inlineStr">
        <is>
          <t>credit</t>
        </is>
      </c>
      <c r="F407" t="n">
        <v>8535.030000000001</v>
      </c>
      <c r="G407" t="inlineStr">
        <is>
          <t>Customer Payment</t>
        </is>
      </c>
      <c r="H407" t="inlineStr">
        <is>
          <t>Cust_C</t>
        </is>
      </c>
      <c r="I407" t="inlineStr">
        <is>
          <t>2024-08</t>
        </is>
      </c>
    </row>
    <row r="408">
      <c r="A408" t="n">
        <v>407</v>
      </c>
      <c r="B408" s="13" t="n">
        <v>45515</v>
      </c>
      <c r="C408" t="inlineStr">
        <is>
          <t>EUR_Operating</t>
        </is>
      </c>
      <c r="D408" t="inlineStr">
        <is>
          <t>EUR</t>
        </is>
      </c>
      <c r="E408" t="inlineStr">
        <is>
          <t>credit</t>
        </is>
      </c>
      <c r="F408" t="n">
        <v>10058.23</v>
      </c>
      <c r="G408" t="inlineStr">
        <is>
          <t>Customer Payment</t>
        </is>
      </c>
      <c r="H408" t="inlineStr">
        <is>
          <t>Cust_A</t>
        </is>
      </c>
      <c r="I408" t="inlineStr">
        <is>
          <t>2024-08</t>
        </is>
      </c>
    </row>
    <row r="409">
      <c r="A409" t="n">
        <v>408</v>
      </c>
      <c r="B409" s="13" t="n">
        <v>45515</v>
      </c>
      <c r="C409" t="inlineStr">
        <is>
          <t>EUR_Operating</t>
        </is>
      </c>
      <c r="D409" t="inlineStr">
        <is>
          <t>EUR</t>
        </is>
      </c>
      <c r="E409" t="inlineStr">
        <is>
          <t>debit</t>
        </is>
      </c>
      <c r="F409" t="n">
        <v>1717.43</v>
      </c>
      <c r="G409" t="inlineStr">
        <is>
          <t>Supplier Payment</t>
        </is>
      </c>
      <c r="H409" t="inlineStr">
        <is>
          <t>Vend_A</t>
        </is>
      </c>
      <c r="I409" t="inlineStr">
        <is>
          <t>2024-08</t>
        </is>
      </c>
    </row>
    <row r="410">
      <c r="A410" t="n">
        <v>409</v>
      </c>
      <c r="B410" s="13" t="n">
        <v>45516</v>
      </c>
      <c r="C410" t="inlineStr">
        <is>
          <t>EUR_Operating</t>
        </is>
      </c>
      <c r="D410" t="inlineStr">
        <is>
          <t>EUR</t>
        </is>
      </c>
      <c r="E410" t="inlineStr">
        <is>
          <t>debit</t>
        </is>
      </c>
      <c r="F410" t="n">
        <v>11372.33</v>
      </c>
      <c r="G410" t="inlineStr">
        <is>
          <t>Supplier Payment</t>
        </is>
      </c>
      <c r="H410" t="inlineStr">
        <is>
          <t>Vend_C</t>
        </is>
      </c>
      <c r="I410" t="inlineStr">
        <is>
          <t>2024-08</t>
        </is>
      </c>
    </row>
    <row r="411">
      <c r="A411" t="n">
        <v>410</v>
      </c>
      <c r="B411" s="13" t="n">
        <v>45516</v>
      </c>
      <c r="C411" t="inlineStr">
        <is>
          <t>EUR_Operating</t>
        </is>
      </c>
      <c r="D411" t="inlineStr">
        <is>
          <t>EUR</t>
        </is>
      </c>
      <c r="E411" t="inlineStr">
        <is>
          <t>debit</t>
        </is>
      </c>
      <c r="F411" t="n">
        <v>1712.43</v>
      </c>
      <c r="G411" t="inlineStr">
        <is>
          <t>Supplier Payment</t>
        </is>
      </c>
      <c r="H411" t="inlineStr">
        <is>
          <t>Vend_A</t>
        </is>
      </c>
      <c r="I411" t="inlineStr">
        <is>
          <t>2024-08</t>
        </is>
      </c>
    </row>
    <row r="412">
      <c r="A412" t="n">
        <v>411</v>
      </c>
      <c r="B412" s="13" t="n">
        <v>45517</v>
      </c>
      <c r="C412" t="inlineStr">
        <is>
          <t>EUR_Operating</t>
        </is>
      </c>
      <c r="D412" t="inlineStr">
        <is>
          <t>EUR</t>
        </is>
      </c>
      <c r="E412" t="inlineStr">
        <is>
          <t>debit</t>
        </is>
      </c>
      <c r="F412" t="n">
        <v>5805.73</v>
      </c>
      <c r="G412" t="inlineStr">
        <is>
          <t>Supplier Payment</t>
        </is>
      </c>
      <c r="H412" t="inlineStr">
        <is>
          <t>Vend_B</t>
        </is>
      </c>
      <c r="I412" t="inlineStr">
        <is>
          <t>2024-08</t>
        </is>
      </c>
    </row>
    <row r="413">
      <c r="A413" t="n">
        <v>412</v>
      </c>
      <c r="B413" s="13" t="n">
        <v>45517</v>
      </c>
      <c r="C413" t="inlineStr">
        <is>
          <t>EUR_Operating</t>
        </is>
      </c>
      <c r="D413" t="inlineStr">
        <is>
          <t>EUR</t>
        </is>
      </c>
      <c r="E413" t="inlineStr">
        <is>
          <t>debit</t>
        </is>
      </c>
      <c r="F413" t="n">
        <v>4833.31</v>
      </c>
      <c r="G413" t="inlineStr">
        <is>
          <t>Supplier Payment</t>
        </is>
      </c>
      <c r="H413" t="inlineStr">
        <is>
          <t>Vend_A</t>
        </is>
      </c>
      <c r="I413" t="inlineStr">
        <is>
          <t>2024-08</t>
        </is>
      </c>
    </row>
    <row r="414">
      <c r="A414" t="n">
        <v>413</v>
      </c>
      <c r="B414" s="13" t="n">
        <v>45518</v>
      </c>
      <c r="C414" t="inlineStr">
        <is>
          <t>JPY_Sales</t>
        </is>
      </c>
      <c r="D414" t="inlineStr">
        <is>
          <t>JPY</t>
        </is>
      </c>
      <c r="E414" t="inlineStr">
        <is>
          <t>credit</t>
        </is>
      </c>
      <c r="F414" t="n">
        <v>415703</v>
      </c>
      <c r="G414" t="inlineStr">
        <is>
          <t>Customer Payment</t>
        </is>
      </c>
      <c r="H414" t="inlineStr">
        <is>
          <t>Cust_C</t>
        </is>
      </c>
      <c r="I414" t="inlineStr">
        <is>
          <t>2024-08</t>
        </is>
      </c>
    </row>
    <row r="415">
      <c r="A415" t="n">
        <v>414</v>
      </c>
      <c r="B415" s="13" t="n">
        <v>45518</v>
      </c>
      <c r="C415" t="inlineStr">
        <is>
          <t>EUR_Operating</t>
        </is>
      </c>
      <c r="D415" t="inlineStr">
        <is>
          <t>EUR</t>
        </is>
      </c>
      <c r="E415" t="inlineStr">
        <is>
          <t>debit</t>
        </is>
      </c>
      <c r="F415" t="n">
        <v>874.77</v>
      </c>
      <c r="G415" t="inlineStr">
        <is>
          <t>Supplier Payment</t>
        </is>
      </c>
      <c r="H415" t="inlineStr">
        <is>
          <t>Vend_A</t>
        </is>
      </c>
      <c r="I415" t="inlineStr">
        <is>
          <t>2024-08</t>
        </is>
      </c>
    </row>
    <row r="416">
      <c r="A416" t="n">
        <v>415</v>
      </c>
      <c r="B416" s="13" t="n">
        <v>45518</v>
      </c>
      <c r="C416" t="inlineStr">
        <is>
          <t>EUR_Operating</t>
        </is>
      </c>
      <c r="D416" t="inlineStr">
        <is>
          <t>EUR</t>
        </is>
      </c>
      <c r="E416" t="inlineStr">
        <is>
          <t>debit</t>
        </is>
      </c>
      <c r="F416" t="n">
        <v>3099.6</v>
      </c>
      <c r="G416" t="inlineStr">
        <is>
          <t>Supplier Payment</t>
        </is>
      </c>
      <c r="H416" t="inlineStr">
        <is>
          <t>Vend_C</t>
        </is>
      </c>
      <c r="I416" t="inlineStr">
        <is>
          <t>2024-08</t>
        </is>
      </c>
    </row>
    <row r="417">
      <c r="A417" t="n">
        <v>416</v>
      </c>
      <c r="B417" s="13" t="n">
        <v>45518</v>
      </c>
      <c r="C417" t="inlineStr">
        <is>
          <t>EUR_Operating</t>
        </is>
      </c>
      <c r="D417" t="inlineStr">
        <is>
          <t>EUR</t>
        </is>
      </c>
      <c r="E417" t="inlineStr">
        <is>
          <t>debit</t>
        </is>
      </c>
      <c r="F417" t="n">
        <v>146.26</v>
      </c>
      <c r="G417" t="inlineStr">
        <is>
          <t>Bank Fee</t>
        </is>
      </c>
      <c r="H417" t="inlineStr">
        <is>
          <t>Bank</t>
        </is>
      </c>
      <c r="I417" t="inlineStr">
        <is>
          <t>2024-08</t>
        </is>
      </c>
    </row>
    <row r="418">
      <c r="A418" t="n">
        <v>417</v>
      </c>
      <c r="B418" s="13" t="n">
        <v>45519</v>
      </c>
      <c r="C418" t="inlineStr">
        <is>
          <t>EUR_Operating</t>
        </is>
      </c>
      <c r="D418" t="inlineStr">
        <is>
          <t>EUR</t>
        </is>
      </c>
      <c r="E418" t="inlineStr">
        <is>
          <t>debit</t>
        </is>
      </c>
      <c r="F418" t="n">
        <v>2947.86</v>
      </c>
      <c r="G418" t="inlineStr">
        <is>
          <t>Supplier Payment</t>
        </is>
      </c>
      <c r="H418" t="inlineStr">
        <is>
          <t>Vend_C</t>
        </is>
      </c>
      <c r="I418" t="inlineStr">
        <is>
          <t>2024-08</t>
        </is>
      </c>
    </row>
    <row r="419">
      <c r="A419" t="n">
        <v>418</v>
      </c>
      <c r="B419" s="13" t="n">
        <v>45520</v>
      </c>
      <c r="C419" t="inlineStr">
        <is>
          <t>EUR_Operating</t>
        </is>
      </c>
      <c r="D419" t="inlineStr">
        <is>
          <t>EUR</t>
        </is>
      </c>
      <c r="E419" t="inlineStr">
        <is>
          <t>debit</t>
        </is>
      </c>
      <c r="F419" t="n">
        <v>11173.75</v>
      </c>
      <c r="G419" t="inlineStr">
        <is>
          <t>Supplier Payment</t>
        </is>
      </c>
      <c r="H419" t="inlineStr">
        <is>
          <t>Vend_B</t>
        </is>
      </c>
      <c r="I419" t="inlineStr">
        <is>
          <t>2024-08</t>
        </is>
      </c>
    </row>
    <row r="420">
      <c r="A420" t="n">
        <v>419</v>
      </c>
      <c r="B420" s="13" t="n">
        <v>45520</v>
      </c>
      <c r="C420" t="inlineStr">
        <is>
          <t>EUR_Operating</t>
        </is>
      </c>
      <c r="D420" t="inlineStr">
        <is>
          <t>EUR</t>
        </is>
      </c>
      <c r="E420" t="inlineStr">
        <is>
          <t>debit</t>
        </is>
      </c>
      <c r="F420" t="n">
        <v>13127.81</v>
      </c>
      <c r="G420" t="inlineStr">
        <is>
          <t>Supplier Payment</t>
        </is>
      </c>
      <c r="H420" t="inlineStr">
        <is>
          <t>Vend_B</t>
        </is>
      </c>
      <c r="I420" t="inlineStr">
        <is>
          <t>2024-08</t>
        </is>
      </c>
    </row>
    <row r="421">
      <c r="A421" t="n">
        <v>420</v>
      </c>
      <c r="B421" s="13" t="n">
        <v>45520</v>
      </c>
      <c r="C421" t="inlineStr">
        <is>
          <t>EUR_Operating</t>
        </is>
      </c>
      <c r="D421" t="inlineStr">
        <is>
          <t>EUR</t>
        </is>
      </c>
      <c r="E421" t="inlineStr">
        <is>
          <t>debit</t>
        </is>
      </c>
      <c r="F421" t="n">
        <v>7292.59</v>
      </c>
      <c r="G421" t="inlineStr">
        <is>
          <t>Supplier Payment</t>
        </is>
      </c>
      <c r="H421" t="inlineStr">
        <is>
          <t>Vend_B</t>
        </is>
      </c>
      <c r="I421" t="inlineStr">
        <is>
          <t>2024-08</t>
        </is>
      </c>
    </row>
    <row r="422">
      <c r="A422" t="n">
        <v>421</v>
      </c>
      <c r="B422" s="13" t="n">
        <v>45520</v>
      </c>
      <c r="C422" t="inlineStr">
        <is>
          <t>EUR_Operating</t>
        </is>
      </c>
      <c r="D422" t="inlineStr">
        <is>
          <t>EUR</t>
        </is>
      </c>
      <c r="E422" t="inlineStr">
        <is>
          <t>debit</t>
        </is>
      </c>
      <c r="F422" t="n">
        <v>5294.77</v>
      </c>
      <c r="G422" t="inlineStr">
        <is>
          <t>Supplier Payment</t>
        </is>
      </c>
      <c r="H422" t="inlineStr">
        <is>
          <t>Vend_C</t>
        </is>
      </c>
      <c r="I422" t="inlineStr">
        <is>
          <t>2024-08</t>
        </is>
      </c>
    </row>
    <row r="423">
      <c r="A423" t="n">
        <v>422</v>
      </c>
      <c r="B423" s="13" t="n">
        <v>45521</v>
      </c>
      <c r="C423" t="inlineStr">
        <is>
          <t>JPY_Sales</t>
        </is>
      </c>
      <c r="D423" t="inlineStr">
        <is>
          <t>JPY</t>
        </is>
      </c>
      <c r="E423" t="inlineStr">
        <is>
          <t>credit</t>
        </is>
      </c>
      <c r="F423" t="n">
        <v>821223</v>
      </c>
      <c r="G423" t="inlineStr">
        <is>
          <t>Customer Payment</t>
        </is>
      </c>
      <c r="H423" t="inlineStr">
        <is>
          <t>Cust_C</t>
        </is>
      </c>
      <c r="I423" t="inlineStr">
        <is>
          <t>2024-08</t>
        </is>
      </c>
    </row>
    <row r="424">
      <c r="A424" t="n">
        <v>423</v>
      </c>
      <c r="B424" s="13" t="n">
        <v>45521</v>
      </c>
      <c r="C424" t="inlineStr">
        <is>
          <t>EUR_Operating</t>
        </is>
      </c>
      <c r="D424" t="inlineStr">
        <is>
          <t>EUR</t>
        </is>
      </c>
      <c r="E424" t="inlineStr">
        <is>
          <t>credit</t>
        </is>
      </c>
      <c r="F424" t="n">
        <v>3741.46</v>
      </c>
      <c r="G424" t="inlineStr">
        <is>
          <t>Customer Payment</t>
        </is>
      </c>
      <c r="H424" t="inlineStr">
        <is>
          <t>Cust_C</t>
        </is>
      </c>
      <c r="I424" t="inlineStr">
        <is>
          <t>2024-08</t>
        </is>
      </c>
    </row>
    <row r="425">
      <c r="A425" t="n">
        <v>424</v>
      </c>
      <c r="B425" s="13" t="n">
        <v>45521</v>
      </c>
      <c r="C425" t="inlineStr">
        <is>
          <t>EUR_Operating</t>
        </is>
      </c>
      <c r="D425" t="inlineStr">
        <is>
          <t>EUR</t>
        </is>
      </c>
      <c r="E425" t="inlineStr">
        <is>
          <t>credit</t>
        </is>
      </c>
      <c r="F425" t="n">
        <v>1754.18</v>
      </c>
      <c r="G425" t="inlineStr">
        <is>
          <t>Customer Payment</t>
        </is>
      </c>
      <c r="H425" t="inlineStr">
        <is>
          <t>Cust_B</t>
        </is>
      </c>
      <c r="I425" t="inlineStr">
        <is>
          <t>2024-08</t>
        </is>
      </c>
    </row>
    <row r="426">
      <c r="A426" t="n">
        <v>425</v>
      </c>
      <c r="B426" s="13" t="n">
        <v>45521</v>
      </c>
      <c r="C426" t="inlineStr">
        <is>
          <t>EUR_Operating</t>
        </is>
      </c>
      <c r="D426" t="inlineStr">
        <is>
          <t>EUR</t>
        </is>
      </c>
      <c r="E426" t="inlineStr">
        <is>
          <t>debit</t>
        </is>
      </c>
      <c r="F426" t="n">
        <v>5069.19</v>
      </c>
      <c r="G426" t="inlineStr">
        <is>
          <t>Supplier Payment</t>
        </is>
      </c>
      <c r="H426" t="inlineStr">
        <is>
          <t>Vend_C</t>
        </is>
      </c>
      <c r="I426" t="inlineStr">
        <is>
          <t>2024-08</t>
        </is>
      </c>
    </row>
    <row r="427">
      <c r="A427" t="n">
        <v>426</v>
      </c>
      <c r="B427" s="13" t="n">
        <v>45521</v>
      </c>
      <c r="C427" t="inlineStr">
        <is>
          <t>EUR_Operating</t>
        </is>
      </c>
      <c r="D427" t="inlineStr">
        <is>
          <t>EUR</t>
        </is>
      </c>
      <c r="E427" t="inlineStr">
        <is>
          <t>debit</t>
        </is>
      </c>
      <c r="F427" t="n">
        <v>5154.04</v>
      </c>
      <c r="G427" t="inlineStr">
        <is>
          <t>Supplier Payment</t>
        </is>
      </c>
      <c r="H427" t="inlineStr">
        <is>
          <t>Vend_C</t>
        </is>
      </c>
      <c r="I427" t="inlineStr">
        <is>
          <t>2024-08</t>
        </is>
      </c>
    </row>
    <row r="428">
      <c r="A428" t="n">
        <v>427</v>
      </c>
      <c r="B428" s="13" t="n">
        <v>45521</v>
      </c>
      <c r="C428" t="inlineStr">
        <is>
          <t>EUR_Operating</t>
        </is>
      </c>
      <c r="D428" t="inlineStr">
        <is>
          <t>EUR</t>
        </is>
      </c>
      <c r="E428" t="inlineStr">
        <is>
          <t>debit</t>
        </is>
      </c>
      <c r="F428" t="n">
        <v>2095.48</v>
      </c>
      <c r="G428" t="inlineStr">
        <is>
          <t>Supplier Payment</t>
        </is>
      </c>
      <c r="H428" t="inlineStr">
        <is>
          <t>Vend_A</t>
        </is>
      </c>
      <c r="I428" t="inlineStr">
        <is>
          <t>2024-08</t>
        </is>
      </c>
    </row>
    <row r="429">
      <c r="A429" t="n">
        <v>428</v>
      </c>
      <c r="B429" s="13" t="n">
        <v>45522</v>
      </c>
      <c r="C429" t="inlineStr">
        <is>
          <t>EUR_Operating</t>
        </is>
      </c>
      <c r="D429" t="inlineStr">
        <is>
          <t>EUR</t>
        </is>
      </c>
      <c r="E429" t="inlineStr">
        <is>
          <t>debit</t>
        </is>
      </c>
      <c r="F429" t="n">
        <v>10683.05</v>
      </c>
      <c r="G429" t="inlineStr">
        <is>
          <t>Supplier Payment</t>
        </is>
      </c>
      <c r="H429" t="inlineStr">
        <is>
          <t>Vend_A</t>
        </is>
      </c>
      <c r="I429" t="inlineStr">
        <is>
          <t>2024-08</t>
        </is>
      </c>
    </row>
    <row r="430">
      <c r="A430" t="n">
        <v>429</v>
      </c>
      <c r="B430" s="13" t="n">
        <v>45525</v>
      </c>
      <c r="C430" t="inlineStr">
        <is>
          <t>EUR_Operating</t>
        </is>
      </c>
      <c r="D430" t="inlineStr">
        <is>
          <t>EUR</t>
        </is>
      </c>
      <c r="E430" t="inlineStr">
        <is>
          <t>credit</t>
        </is>
      </c>
      <c r="F430" t="n">
        <v>6788.5</v>
      </c>
      <c r="G430" t="inlineStr">
        <is>
          <t>Customer Payment</t>
        </is>
      </c>
      <c r="H430" t="inlineStr">
        <is>
          <t>Cust_B</t>
        </is>
      </c>
      <c r="I430" t="inlineStr">
        <is>
          <t>2024-08</t>
        </is>
      </c>
    </row>
    <row r="431">
      <c r="A431" t="n">
        <v>430</v>
      </c>
      <c r="B431" s="13" t="n">
        <v>45526</v>
      </c>
      <c r="C431" t="inlineStr">
        <is>
          <t>EUR_Operating</t>
        </is>
      </c>
      <c r="D431" t="inlineStr">
        <is>
          <t>EUR</t>
        </is>
      </c>
      <c r="E431" t="inlineStr">
        <is>
          <t>credit</t>
        </is>
      </c>
      <c r="F431" t="n">
        <v>14323.33</v>
      </c>
      <c r="G431" t="inlineStr">
        <is>
          <t>Customer Payment</t>
        </is>
      </c>
      <c r="H431" t="inlineStr">
        <is>
          <t>Cust_A</t>
        </is>
      </c>
      <c r="I431" t="inlineStr">
        <is>
          <t>2024-08</t>
        </is>
      </c>
    </row>
    <row r="432">
      <c r="A432" t="n">
        <v>431</v>
      </c>
      <c r="B432" s="13" t="n">
        <v>45527</v>
      </c>
      <c r="C432" t="inlineStr">
        <is>
          <t>EUR_Operating</t>
        </is>
      </c>
      <c r="D432" t="inlineStr">
        <is>
          <t>EUR</t>
        </is>
      </c>
      <c r="E432" t="inlineStr">
        <is>
          <t>credit</t>
        </is>
      </c>
      <c r="F432" t="n">
        <v>4517.73</v>
      </c>
      <c r="G432" t="inlineStr">
        <is>
          <t>Customer Payment</t>
        </is>
      </c>
      <c r="H432" t="inlineStr">
        <is>
          <t>Cust_D</t>
        </is>
      </c>
      <c r="I432" t="inlineStr">
        <is>
          <t>2024-08</t>
        </is>
      </c>
    </row>
    <row r="433">
      <c r="A433" t="n">
        <v>432</v>
      </c>
      <c r="B433" s="13" t="n">
        <v>45527</v>
      </c>
      <c r="C433" t="inlineStr">
        <is>
          <t>EUR_Operating</t>
        </is>
      </c>
      <c r="D433" t="inlineStr">
        <is>
          <t>EUR</t>
        </is>
      </c>
      <c r="E433" t="inlineStr">
        <is>
          <t>debit</t>
        </is>
      </c>
      <c r="F433" t="n">
        <v>805.64</v>
      </c>
      <c r="G433" t="inlineStr">
        <is>
          <t>Supplier Payment</t>
        </is>
      </c>
      <c r="H433" t="inlineStr">
        <is>
          <t>Vend_C</t>
        </is>
      </c>
      <c r="I433" t="inlineStr">
        <is>
          <t>2024-08</t>
        </is>
      </c>
    </row>
    <row r="434">
      <c r="A434" t="n">
        <v>433</v>
      </c>
      <c r="B434" s="13" t="n">
        <v>45528</v>
      </c>
      <c r="C434" t="inlineStr">
        <is>
          <t>EUR_Operating</t>
        </is>
      </c>
      <c r="D434" t="inlineStr">
        <is>
          <t>EUR</t>
        </is>
      </c>
      <c r="E434" t="inlineStr">
        <is>
          <t>credit</t>
        </is>
      </c>
      <c r="F434" t="n">
        <v>10236.04</v>
      </c>
      <c r="G434" t="inlineStr">
        <is>
          <t>Customer Payment</t>
        </is>
      </c>
      <c r="H434" t="inlineStr">
        <is>
          <t>Cust_D</t>
        </is>
      </c>
      <c r="I434" t="inlineStr">
        <is>
          <t>2024-08</t>
        </is>
      </c>
    </row>
    <row r="435">
      <c r="A435" t="n">
        <v>434</v>
      </c>
      <c r="B435" s="13" t="n">
        <v>45528</v>
      </c>
      <c r="C435" t="inlineStr">
        <is>
          <t>EUR_Operating</t>
        </is>
      </c>
      <c r="D435" t="inlineStr">
        <is>
          <t>EUR</t>
        </is>
      </c>
      <c r="E435" t="inlineStr">
        <is>
          <t>debit</t>
        </is>
      </c>
      <c r="F435" t="n">
        <v>6463.95</v>
      </c>
      <c r="G435" t="inlineStr">
        <is>
          <t>Supplier Payment</t>
        </is>
      </c>
      <c r="H435" t="inlineStr">
        <is>
          <t>Vend_A</t>
        </is>
      </c>
      <c r="I435" t="inlineStr">
        <is>
          <t>2024-08</t>
        </is>
      </c>
    </row>
    <row r="436">
      <c r="A436" t="n">
        <v>435</v>
      </c>
      <c r="B436" s="13" t="n">
        <v>45529</v>
      </c>
      <c r="C436" t="inlineStr">
        <is>
          <t>EUR_Operating</t>
        </is>
      </c>
      <c r="D436" t="inlineStr">
        <is>
          <t>EUR</t>
        </is>
      </c>
      <c r="E436" t="inlineStr">
        <is>
          <t>credit</t>
        </is>
      </c>
      <c r="F436" t="n">
        <v>9143.129999999999</v>
      </c>
      <c r="G436" t="inlineStr">
        <is>
          <t>Customer Payment</t>
        </is>
      </c>
      <c r="H436" t="inlineStr">
        <is>
          <t>Cust_B</t>
        </is>
      </c>
      <c r="I436" t="inlineStr">
        <is>
          <t>2024-08</t>
        </is>
      </c>
    </row>
    <row r="437">
      <c r="A437" t="n">
        <v>436</v>
      </c>
      <c r="B437" s="13" t="n">
        <v>45529</v>
      </c>
      <c r="C437" t="inlineStr">
        <is>
          <t>EUR_Payroll</t>
        </is>
      </c>
      <c r="D437" t="inlineStr">
        <is>
          <t>EUR</t>
        </is>
      </c>
      <c r="E437" t="inlineStr">
        <is>
          <t>debit</t>
        </is>
      </c>
      <c r="F437" t="n">
        <v>122781.96</v>
      </c>
      <c r="G437" t="inlineStr">
        <is>
          <t>Payroll</t>
        </is>
      </c>
      <c r="H437" t="inlineStr">
        <is>
          <t>Payroll</t>
        </is>
      </c>
      <c r="I437" t="inlineStr">
        <is>
          <t>2024-08</t>
        </is>
      </c>
    </row>
    <row r="438">
      <c r="A438" t="n">
        <v>437</v>
      </c>
      <c r="B438" s="13" t="n">
        <v>45529</v>
      </c>
      <c r="C438" t="inlineStr">
        <is>
          <t>EUR_Operating</t>
        </is>
      </c>
      <c r="D438" t="inlineStr">
        <is>
          <t>EUR</t>
        </is>
      </c>
      <c r="E438" t="inlineStr">
        <is>
          <t>debit</t>
        </is>
      </c>
      <c r="F438" t="n">
        <v>122781.96</v>
      </c>
      <c r="G438" t="inlineStr">
        <is>
          <t>Transfer to Payroll</t>
        </is>
      </c>
      <c r="H438" t="inlineStr">
        <is>
          <t>Payroll</t>
        </is>
      </c>
      <c r="I438" t="inlineStr">
        <is>
          <t>2024-08</t>
        </is>
      </c>
    </row>
    <row r="439">
      <c r="A439" t="n">
        <v>438</v>
      </c>
      <c r="B439" s="13" t="n">
        <v>45530</v>
      </c>
      <c r="C439" t="inlineStr">
        <is>
          <t>EUR_Operating</t>
        </is>
      </c>
      <c r="D439" t="inlineStr">
        <is>
          <t>EUR</t>
        </is>
      </c>
      <c r="E439" t="inlineStr">
        <is>
          <t>credit</t>
        </is>
      </c>
      <c r="F439" t="n">
        <v>14175.06</v>
      </c>
      <c r="G439" t="inlineStr">
        <is>
          <t>Customer Payment</t>
        </is>
      </c>
      <c r="H439" t="inlineStr">
        <is>
          <t>Cust_C</t>
        </is>
      </c>
      <c r="I439" t="inlineStr">
        <is>
          <t>2024-08</t>
        </is>
      </c>
    </row>
    <row r="440">
      <c r="A440" t="n">
        <v>439</v>
      </c>
      <c r="B440" s="13" t="n">
        <v>45530</v>
      </c>
      <c r="C440" t="inlineStr">
        <is>
          <t>EUR_Operating</t>
        </is>
      </c>
      <c r="D440" t="inlineStr">
        <is>
          <t>EUR</t>
        </is>
      </c>
      <c r="E440" t="inlineStr">
        <is>
          <t>debit</t>
        </is>
      </c>
      <c r="F440" t="n">
        <v>6776.5</v>
      </c>
      <c r="G440" t="inlineStr">
        <is>
          <t>Supplier Payment</t>
        </is>
      </c>
      <c r="H440" t="inlineStr">
        <is>
          <t>Vend_C</t>
        </is>
      </c>
      <c r="I440" t="inlineStr">
        <is>
          <t>2024-08</t>
        </is>
      </c>
    </row>
    <row r="441">
      <c r="A441" t="n">
        <v>440</v>
      </c>
      <c r="B441" s="13" t="n">
        <v>45531</v>
      </c>
      <c r="C441" t="inlineStr">
        <is>
          <t>EUR_Operating</t>
        </is>
      </c>
      <c r="D441" t="inlineStr">
        <is>
          <t>EUR</t>
        </is>
      </c>
      <c r="E441" t="inlineStr">
        <is>
          <t>credit</t>
        </is>
      </c>
      <c r="F441" t="n">
        <v>4024.64</v>
      </c>
      <c r="G441" t="inlineStr">
        <is>
          <t>Customer Payment</t>
        </is>
      </c>
      <c r="H441" t="inlineStr">
        <is>
          <t>Cust_B</t>
        </is>
      </c>
      <c r="I441" t="inlineStr">
        <is>
          <t>2024-08</t>
        </is>
      </c>
    </row>
    <row r="442">
      <c r="A442" t="n">
        <v>441</v>
      </c>
      <c r="B442" s="13" t="n">
        <v>45531</v>
      </c>
      <c r="C442" t="inlineStr">
        <is>
          <t>JPY_Sales</t>
        </is>
      </c>
      <c r="D442" t="inlineStr">
        <is>
          <t>JPY</t>
        </is>
      </c>
      <c r="E442" t="inlineStr">
        <is>
          <t>credit</t>
        </is>
      </c>
      <c r="F442" t="n">
        <v>2316500</v>
      </c>
      <c r="G442" t="inlineStr">
        <is>
          <t>Customer Payment</t>
        </is>
      </c>
      <c r="H442" t="inlineStr">
        <is>
          <t>Cust_C</t>
        </is>
      </c>
      <c r="I442" t="inlineStr">
        <is>
          <t>2024-08</t>
        </is>
      </c>
    </row>
    <row r="443">
      <c r="A443" t="n">
        <v>442</v>
      </c>
      <c r="B443" s="13" t="n">
        <v>45531</v>
      </c>
      <c r="C443" t="inlineStr">
        <is>
          <t>EUR_Operating</t>
        </is>
      </c>
      <c r="D443" t="inlineStr">
        <is>
          <t>EUR</t>
        </is>
      </c>
      <c r="E443" t="inlineStr">
        <is>
          <t>debit</t>
        </is>
      </c>
      <c r="F443" t="n">
        <v>502.62</v>
      </c>
      <c r="G443" t="inlineStr">
        <is>
          <t>Supplier Payment</t>
        </is>
      </c>
      <c r="H443" t="inlineStr">
        <is>
          <t>Vend_A</t>
        </is>
      </c>
      <c r="I443" t="inlineStr">
        <is>
          <t>2024-08</t>
        </is>
      </c>
    </row>
    <row r="444">
      <c r="A444" t="n">
        <v>443</v>
      </c>
      <c r="B444" s="13" t="n">
        <v>45531</v>
      </c>
      <c r="C444" t="inlineStr">
        <is>
          <t>JPY_Sales</t>
        </is>
      </c>
      <c r="D444" t="inlineStr">
        <is>
          <t>JPY</t>
        </is>
      </c>
      <c r="E444" t="inlineStr">
        <is>
          <t>debit</t>
        </is>
      </c>
      <c r="F444" t="n">
        <v>8464.85</v>
      </c>
      <c r="G444" t="inlineStr">
        <is>
          <t>Supplier Payment</t>
        </is>
      </c>
      <c r="H444" t="inlineStr">
        <is>
          <t>Vend_C</t>
        </is>
      </c>
      <c r="I444" t="inlineStr">
        <is>
          <t>2024-08</t>
        </is>
      </c>
    </row>
    <row r="445">
      <c r="A445" t="n">
        <v>444</v>
      </c>
      <c r="B445" s="13" t="n">
        <v>45532</v>
      </c>
      <c r="C445" t="inlineStr">
        <is>
          <t>EUR_Operating</t>
        </is>
      </c>
      <c r="D445" t="inlineStr">
        <is>
          <t>EUR</t>
        </is>
      </c>
      <c r="E445" t="inlineStr">
        <is>
          <t>debit</t>
        </is>
      </c>
      <c r="F445" t="n">
        <v>10948.11</v>
      </c>
      <c r="G445" t="inlineStr">
        <is>
          <t>Supplier Payment</t>
        </is>
      </c>
      <c r="H445" t="inlineStr">
        <is>
          <t>Vend_B</t>
        </is>
      </c>
      <c r="I445" t="inlineStr">
        <is>
          <t>2024-08</t>
        </is>
      </c>
    </row>
    <row r="446">
      <c r="A446" t="n">
        <v>445</v>
      </c>
      <c r="B446" s="13" t="n">
        <v>45533</v>
      </c>
      <c r="C446" t="inlineStr">
        <is>
          <t>EUR_Operating</t>
        </is>
      </c>
      <c r="D446" t="inlineStr">
        <is>
          <t>EUR</t>
        </is>
      </c>
      <c r="E446" t="inlineStr">
        <is>
          <t>debit</t>
        </is>
      </c>
      <c r="F446" t="n">
        <v>2776.21</v>
      </c>
      <c r="G446" t="inlineStr">
        <is>
          <t>Supplier Payment</t>
        </is>
      </c>
      <c r="H446" t="inlineStr">
        <is>
          <t>Vend_C</t>
        </is>
      </c>
      <c r="I446" t="inlineStr">
        <is>
          <t>2024-08</t>
        </is>
      </c>
    </row>
    <row r="447">
      <c r="A447" t="n">
        <v>446</v>
      </c>
      <c r="B447" s="13" t="n">
        <v>45534</v>
      </c>
      <c r="C447" t="inlineStr">
        <is>
          <t>EUR_Operating</t>
        </is>
      </c>
      <c r="D447" t="inlineStr">
        <is>
          <t>EUR</t>
        </is>
      </c>
      <c r="E447" t="inlineStr">
        <is>
          <t>credit</t>
        </is>
      </c>
      <c r="F447" t="n">
        <v>7964.97</v>
      </c>
      <c r="G447" t="inlineStr">
        <is>
          <t>Customer Payment</t>
        </is>
      </c>
      <c r="H447" t="inlineStr">
        <is>
          <t>Cust_D</t>
        </is>
      </c>
      <c r="I447" t="inlineStr">
        <is>
          <t>2024-08</t>
        </is>
      </c>
    </row>
    <row r="448">
      <c r="A448" t="n">
        <v>447</v>
      </c>
      <c r="B448" s="13" t="n">
        <v>45534</v>
      </c>
      <c r="C448" t="inlineStr">
        <is>
          <t>EUR_Operating</t>
        </is>
      </c>
      <c r="D448" t="inlineStr">
        <is>
          <t>EUR</t>
        </is>
      </c>
      <c r="E448" t="inlineStr">
        <is>
          <t>credit</t>
        </is>
      </c>
      <c r="F448" t="n">
        <v>15368.39</v>
      </c>
      <c r="G448" t="inlineStr">
        <is>
          <t>Customer Payment</t>
        </is>
      </c>
      <c r="H448" t="inlineStr">
        <is>
          <t>Cust_B</t>
        </is>
      </c>
      <c r="I448" t="inlineStr">
        <is>
          <t>2024-08</t>
        </is>
      </c>
    </row>
    <row r="449">
      <c r="A449" t="n">
        <v>448</v>
      </c>
      <c r="B449" s="13" t="n">
        <v>45535</v>
      </c>
      <c r="C449" t="inlineStr">
        <is>
          <t>EUR_Operating</t>
        </is>
      </c>
      <c r="D449" t="inlineStr">
        <is>
          <t>EUR</t>
        </is>
      </c>
      <c r="E449" t="inlineStr">
        <is>
          <t>credit</t>
        </is>
      </c>
      <c r="F449" t="n">
        <v>12175.39</v>
      </c>
      <c r="G449" t="inlineStr">
        <is>
          <t>Customer Payment</t>
        </is>
      </c>
      <c r="H449" t="inlineStr">
        <is>
          <t>Cust_B</t>
        </is>
      </c>
      <c r="I449" t="inlineStr">
        <is>
          <t>2024-08</t>
        </is>
      </c>
    </row>
    <row r="450">
      <c r="A450" t="n">
        <v>449</v>
      </c>
      <c r="B450" s="13" t="n">
        <v>45535</v>
      </c>
      <c r="C450" t="inlineStr">
        <is>
          <t>EUR_Operating</t>
        </is>
      </c>
      <c r="D450" t="inlineStr">
        <is>
          <t>EUR</t>
        </is>
      </c>
      <c r="E450" t="inlineStr">
        <is>
          <t>credit</t>
        </is>
      </c>
      <c r="F450" t="n">
        <v>3901.75</v>
      </c>
      <c r="G450" t="inlineStr">
        <is>
          <t>Customer Payment</t>
        </is>
      </c>
      <c r="H450" t="inlineStr">
        <is>
          <t>Cust_C</t>
        </is>
      </c>
      <c r="I450" t="inlineStr">
        <is>
          <t>2024-08</t>
        </is>
      </c>
    </row>
    <row r="451">
      <c r="A451" t="n">
        <v>450</v>
      </c>
      <c r="B451" s="13" t="n">
        <v>45536</v>
      </c>
      <c r="C451" t="inlineStr">
        <is>
          <t>EUR_Operating</t>
        </is>
      </c>
      <c r="D451" t="inlineStr">
        <is>
          <t>EUR</t>
        </is>
      </c>
      <c r="E451" t="inlineStr">
        <is>
          <t>credit</t>
        </is>
      </c>
      <c r="F451" t="n">
        <v>29338.09</v>
      </c>
      <c r="G451" t="inlineStr">
        <is>
          <t>Customer Payment</t>
        </is>
      </c>
      <c r="H451" t="inlineStr">
        <is>
          <t>Cust_A</t>
        </is>
      </c>
      <c r="I451" t="inlineStr">
        <is>
          <t>2024-09</t>
        </is>
      </c>
    </row>
    <row r="452">
      <c r="A452" t="n">
        <v>451</v>
      </c>
      <c r="B452" s="13" t="n">
        <v>45536</v>
      </c>
      <c r="C452" t="inlineStr">
        <is>
          <t>EUR_Operating</t>
        </is>
      </c>
      <c r="D452" t="inlineStr">
        <is>
          <t>EUR</t>
        </is>
      </c>
      <c r="E452" t="inlineStr">
        <is>
          <t>credit</t>
        </is>
      </c>
      <c r="F452" t="n">
        <v>4768.6</v>
      </c>
      <c r="G452" t="inlineStr">
        <is>
          <t>Customer Payment</t>
        </is>
      </c>
      <c r="H452" t="inlineStr">
        <is>
          <t>Cust_B</t>
        </is>
      </c>
      <c r="I452" t="inlineStr">
        <is>
          <t>2024-09</t>
        </is>
      </c>
    </row>
    <row r="453">
      <c r="A453" t="n">
        <v>452</v>
      </c>
      <c r="B453" s="13" t="n">
        <v>45536</v>
      </c>
      <c r="C453" t="inlineStr">
        <is>
          <t>USD_Sales</t>
        </is>
      </c>
      <c r="D453" t="inlineStr">
        <is>
          <t>USD</t>
        </is>
      </c>
      <c r="E453" t="inlineStr">
        <is>
          <t>credit</t>
        </is>
      </c>
      <c r="F453" t="n">
        <v>1845.13</v>
      </c>
      <c r="G453" t="inlineStr">
        <is>
          <t>Customer Payment</t>
        </is>
      </c>
      <c r="H453" t="inlineStr">
        <is>
          <t>Cust_C</t>
        </is>
      </c>
      <c r="I453" t="inlineStr">
        <is>
          <t>2024-09</t>
        </is>
      </c>
    </row>
    <row r="454">
      <c r="A454" t="n">
        <v>453</v>
      </c>
      <c r="B454" s="13" t="n">
        <v>45536</v>
      </c>
      <c r="C454" t="inlineStr">
        <is>
          <t>EUR_Operating</t>
        </is>
      </c>
      <c r="D454" t="inlineStr">
        <is>
          <t>EUR</t>
        </is>
      </c>
      <c r="E454" t="inlineStr">
        <is>
          <t>debit</t>
        </is>
      </c>
      <c r="F454" t="n">
        <v>29676.67</v>
      </c>
      <c r="G454" t="inlineStr">
        <is>
          <t>Loan Interest</t>
        </is>
      </c>
      <c r="H454" t="inlineStr">
        <is>
          <t>Bank Loan</t>
        </is>
      </c>
      <c r="I454" t="inlineStr">
        <is>
          <t>2024-09</t>
        </is>
      </c>
    </row>
    <row r="455">
      <c r="A455" t="n">
        <v>454</v>
      </c>
      <c r="B455" s="13" t="n">
        <v>45537</v>
      </c>
      <c r="C455" t="inlineStr">
        <is>
          <t>EUR_Operating</t>
        </is>
      </c>
      <c r="D455" t="inlineStr">
        <is>
          <t>EUR</t>
        </is>
      </c>
      <c r="E455" t="inlineStr">
        <is>
          <t>credit</t>
        </is>
      </c>
      <c r="F455" t="n">
        <v>15472.92</v>
      </c>
      <c r="G455" t="inlineStr">
        <is>
          <t>Customer Payment</t>
        </is>
      </c>
      <c r="H455" t="inlineStr">
        <is>
          <t>Cust_D</t>
        </is>
      </c>
      <c r="I455" t="inlineStr">
        <is>
          <t>2024-09</t>
        </is>
      </c>
    </row>
    <row r="456">
      <c r="A456" t="n">
        <v>455</v>
      </c>
      <c r="B456" s="13" t="n">
        <v>45537</v>
      </c>
      <c r="C456" t="inlineStr">
        <is>
          <t>EUR_Operating</t>
        </is>
      </c>
      <c r="D456" t="inlineStr">
        <is>
          <t>EUR</t>
        </is>
      </c>
      <c r="E456" t="inlineStr">
        <is>
          <t>credit</t>
        </is>
      </c>
      <c r="F456" t="n">
        <v>3551.5</v>
      </c>
      <c r="G456" t="inlineStr">
        <is>
          <t>Customer Payment</t>
        </is>
      </c>
      <c r="H456" t="inlineStr">
        <is>
          <t>Cust_B</t>
        </is>
      </c>
      <c r="I456" t="inlineStr">
        <is>
          <t>2024-09</t>
        </is>
      </c>
    </row>
    <row r="457">
      <c r="A457" t="n">
        <v>456</v>
      </c>
      <c r="B457" s="13" t="n">
        <v>45537</v>
      </c>
      <c r="C457" t="inlineStr">
        <is>
          <t>EUR_Operating</t>
        </is>
      </c>
      <c r="D457" t="inlineStr">
        <is>
          <t>EUR</t>
        </is>
      </c>
      <c r="E457" t="inlineStr">
        <is>
          <t>credit</t>
        </is>
      </c>
      <c r="F457" t="n">
        <v>8414.809999999999</v>
      </c>
      <c r="G457" t="inlineStr">
        <is>
          <t>Customer Payment</t>
        </is>
      </c>
      <c r="H457" t="inlineStr">
        <is>
          <t>Cust_C</t>
        </is>
      </c>
      <c r="I457" t="inlineStr">
        <is>
          <t>2024-09</t>
        </is>
      </c>
    </row>
    <row r="458">
      <c r="A458" t="n">
        <v>457</v>
      </c>
      <c r="B458" s="13" t="n">
        <v>45537</v>
      </c>
      <c r="C458" t="inlineStr">
        <is>
          <t>EUR_Operating</t>
        </is>
      </c>
      <c r="D458" t="inlineStr">
        <is>
          <t>EUR</t>
        </is>
      </c>
      <c r="E458" t="inlineStr">
        <is>
          <t>debit</t>
        </is>
      </c>
      <c r="F458" t="n">
        <v>14058.61</v>
      </c>
      <c r="G458" t="inlineStr">
        <is>
          <t>Supplier Payment</t>
        </is>
      </c>
      <c r="H458" t="inlineStr">
        <is>
          <t>Vend_A</t>
        </is>
      </c>
      <c r="I458" t="inlineStr">
        <is>
          <t>2024-09</t>
        </is>
      </c>
    </row>
    <row r="459">
      <c r="A459" t="n">
        <v>458</v>
      </c>
      <c r="B459" s="13" t="n">
        <v>45538</v>
      </c>
      <c r="C459" t="inlineStr">
        <is>
          <t>EUR_Operating</t>
        </is>
      </c>
      <c r="D459" t="inlineStr">
        <is>
          <t>EUR</t>
        </is>
      </c>
      <c r="E459" t="inlineStr">
        <is>
          <t>credit</t>
        </is>
      </c>
      <c r="F459" t="n">
        <v>14338.9</v>
      </c>
      <c r="G459" t="inlineStr">
        <is>
          <t>Customer Payment</t>
        </is>
      </c>
      <c r="H459" t="inlineStr">
        <is>
          <t>Cust_D</t>
        </is>
      </c>
      <c r="I459" t="inlineStr">
        <is>
          <t>2024-09</t>
        </is>
      </c>
    </row>
    <row r="460">
      <c r="A460" t="n">
        <v>459</v>
      </c>
      <c r="B460" s="13" t="n">
        <v>45538</v>
      </c>
      <c r="C460" t="inlineStr">
        <is>
          <t>EUR_Operating</t>
        </is>
      </c>
      <c r="D460" t="inlineStr">
        <is>
          <t>EUR</t>
        </is>
      </c>
      <c r="E460" t="inlineStr">
        <is>
          <t>credit</t>
        </is>
      </c>
      <c r="F460" t="n">
        <v>2012.19</v>
      </c>
      <c r="G460" t="inlineStr">
        <is>
          <t>Customer Payment</t>
        </is>
      </c>
      <c r="H460" t="inlineStr">
        <is>
          <t>Cust_B</t>
        </is>
      </c>
      <c r="I460" t="inlineStr">
        <is>
          <t>2024-09</t>
        </is>
      </c>
    </row>
    <row r="461">
      <c r="A461" t="n">
        <v>460</v>
      </c>
      <c r="B461" s="13" t="n">
        <v>45538</v>
      </c>
      <c r="C461" t="inlineStr">
        <is>
          <t>JPY_Sales</t>
        </is>
      </c>
      <c r="D461" t="inlineStr">
        <is>
          <t>JPY</t>
        </is>
      </c>
      <c r="E461" t="inlineStr">
        <is>
          <t>debit</t>
        </is>
      </c>
      <c r="F461" t="n">
        <v>1933.84</v>
      </c>
      <c r="G461" t="inlineStr">
        <is>
          <t>Supplier Payment</t>
        </is>
      </c>
      <c r="H461" t="inlineStr">
        <is>
          <t>Vend_A</t>
        </is>
      </c>
      <c r="I461" t="inlineStr">
        <is>
          <t>2024-09</t>
        </is>
      </c>
    </row>
    <row r="462">
      <c r="A462" t="n">
        <v>461</v>
      </c>
      <c r="B462" s="13" t="n">
        <v>45539</v>
      </c>
      <c r="C462" t="inlineStr">
        <is>
          <t>JPY_Sales</t>
        </is>
      </c>
      <c r="D462" t="inlineStr">
        <is>
          <t>JPY</t>
        </is>
      </c>
      <c r="E462" t="inlineStr">
        <is>
          <t>credit</t>
        </is>
      </c>
      <c r="F462" t="n">
        <v>1241265</v>
      </c>
      <c r="G462" t="inlineStr">
        <is>
          <t>Customer Payment</t>
        </is>
      </c>
      <c r="H462" t="inlineStr">
        <is>
          <t>Cust_D</t>
        </is>
      </c>
      <c r="I462" t="inlineStr">
        <is>
          <t>2024-09</t>
        </is>
      </c>
    </row>
    <row r="463">
      <c r="A463" t="n">
        <v>462</v>
      </c>
      <c r="B463" s="13" t="n">
        <v>45539</v>
      </c>
      <c r="C463" t="inlineStr">
        <is>
          <t>EUR_Operating</t>
        </is>
      </c>
      <c r="D463" t="inlineStr">
        <is>
          <t>EUR</t>
        </is>
      </c>
      <c r="E463" t="inlineStr">
        <is>
          <t>credit</t>
        </is>
      </c>
      <c r="F463" t="n">
        <v>4790.43</v>
      </c>
      <c r="G463" t="inlineStr">
        <is>
          <t>Customer Payment</t>
        </is>
      </c>
      <c r="H463" t="inlineStr">
        <is>
          <t>Cust_B</t>
        </is>
      </c>
      <c r="I463" t="inlineStr">
        <is>
          <t>2024-09</t>
        </is>
      </c>
    </row>
    <row r="464">
      <c r="A464" t="n">
        <v>463</v>
      </c>
      <c r="B464" s="13" t="n">
        <v>45539</v>
      </c>
      <c r="C464" t="inlineStr">
        <is>
          <t>EUR_Operating</t>
        </is>
      </c>
      <c r="D464" t="inlineStr">
        <is>
          <t>EUR</t>
        </is>
      </c>
      <c r="E464" t="inlineStr">
        <is>
          <t>debit</t>
        </is>
      </c>
      <c r="F464" t="n">
        <v>7010.03</v>
      </c>
      <c r="G464" t="inlineStr">
        <is>
          <t>Supplier Payment</t>
        </is>
      </c>
      <c r="H464" t="inlineStr">
        <is>
          <t>Vend_A</t>
        </is>
      </c>
      <c r="I464" t="inlineStr">
        <is>
          <t>2024-09</t>
        </is>
      </c>
    </row>
    <row r="465">
      <c r="A465" t="n">
        <v>464</v>
      </c>
      <c r="B465" s="13" t="n">
        <v>45539</v>
      </c>
      <c r="C465" t="inlineStr">
        <is>
          <t>EUR_Operating</t>
        </is>
      </c>
      <c r="D465" t="inlineStr">
        <is>
          <t>EUR</t>
        </is>
      </c>
      <c r="E465" t="inlineStr">
        <is>
          <t>debit</t>
        </is>
      </c>
      <c r="F465" t="n">
        <v>5502.9</v>
      </c>
      <c r="G465" t="inlineStr">
        <is>
          <t>Supplier Payment</t>
        </is>
      </c>
      <c r="H465" t="inlineStr">
        <is>
          <t>Vend_B</t>
        </is>
      </c>
      <c r="I465" t="inlineStr">
        <is>
          <t>2024-09</t>
        </is>
      </c>
    </row>
    <row r="466">
      <c r="A466" t="n">
        <v>465</v>
      </c>
      <c r="B466" s="13" t="n">
        <v>45540</v>
      </c>
      <c r="C466" t="inlineStr">
        <is>
          <t>EUR_Operating</t>
        </is>
      </c>
      <c r="D466" t="inlineStr">
        <is>
          <t>EUR</t>
        </is>
      </c>
      <c r="E466" t="inlineStr">
        <is>
          <t>credit</t>
        </is>
      </c>
      <c r="F466" t="n">
        <v>23424.58</v>
      </c>
      <c r="G466" t="inlineStr">
        <is>
          <t>Customer Payment</t>
        </is>
      </c>
      <c r="H466" t="inlineStr">
        <is>
          <t>Cust_B</t>
        </is>
      </c>
      <c r="I466" t="inlineStr">
        <is>
          <t>2024-09</t>
        </is>
      </c>
    </row>
    <row r="467">
      <c r="A467" t="n">
        <v>466</v>
      </c>
      <c r="B467" s="13" t="n">
        <v>45540</v>
      </c>
      <c r="C467" t="inlineStr">
        <is>
          <t>EUR_Operating</t>
        </is>
      </c>
      <c r="D467" t="inlineStr">
        <is>
          <t>EUR</t>
        </is>
      </c>
      <c r="E467" t="inlineStr">
        <is>
          <t>credit</t>
        </is>
      </c>
      <c r="F467" t="n">
        <v>11502.41</v>
      </c>
      <c r="G467" t="inlineStr">
        <is>
          <t>Customer Payment</t>
        </is>
      </c>
      <c r="H467" t="inlineStr">
        <is>
          <t>Cust_A</t>
        </is>
      </c>
      <c r="I467" t="inlineStr">
        <is>
          <t>2024-09</t>
        </is>
      </c>
    </row>
    <row r="468">
      <c r="A468" t="n">
        <v>467</v>
      </c>
      <c r="B468" s="13" t="n">
        <v>45540</v>
      </c>
      <c r="C468" t="inlineStr">
        <is>
          <t>EUR_Operating</t>
        </is>
      </c>
      <c r="D468" t="inlineStr">
        <is>
          <t>EUR</t>
        </is>
      </c>
      <c r="E468" t="inlineStr">
        <is>
          <t>credit</t>
        </is>
      </c>
      <c r="F468" t="n">
        <v>9631.559999999999</v>
      </c>
      <c r="G468" t="inlineStr">
        <is>
          <t>Customer Payment</t>
        </is>
      </c>
      <c r="H468" t="inlineStr">
        <is>
          <t>Cust_A</t>
        </is>
      </c>
      <c r="I468" t="inlineStr">
        <is>
          <t>2024-09</t>
        </is>
      </c>
    </row>
    <row r="469">
      <c r="A469" t="n">
        <v>468</v>
      </c>
      <c r="B469" s="13" t="n">
        <v>45541</v>
      </c>
      <c r="C469" t="inlineStr">
        <is>
          <t>JPY_Sales</t>
        </is>
      </c>
      <c r="D469" t="inlineStr">
        <is>
          <t>JPY</t>
        </is>
      </c>
      <c r="E469" t="inlineStr">
        <is>
          <t>credit</t>
        </is>
      </c>
      <c r="F469" t="n">
        <v>854359</v>
      </c>
      <c r="G469" t="inlineStr">
        <is>
          <t>Customer Payment</t>
        </is>
      </c>
      <c r="H469" t="inlineStr">
        <is>
          <t>Cust_B</t>
        </is>
      </c>
      <c r="I469" t="inlineStr">
        <is>
          <t>2024-09</t>
        </is>
      </c>
    </row>
    <row r="470">
      <c r="A470" t="n">
        <v>469</v>
      </c>
      <c r="B470" s="13" t="n">
        <v>45541</v>
      </c>
      <c r="C470" t="inlineStr">
        <is>
          <t>EUR_Operating</t>
        </is>
      </c>
      <c r="D470" t="inlineStr">
        <is>
          <t>EUR</t>
        </is>
      </c>
      <c r="E470" t="inlineStr">
        <is>
          <t>debit</t>
        </is>
      </c>
      <c r="F470" t="n">
        <v>7228.85</v>
      </c>
      <c r="G470" t="inlineStr">
        <is>
          <t>Supplier Payment</t>
        </is>
      </c>
      <c r="H470" t="inlineStr">
        <is>
          <t>Vend_C</t>
        </is>
      </c>
      <c r="I470" t="inlineStr">
        <is>
          <t>2024-09</t>
        </is>
      </c>
    </row>
    <row r="471">
      <c r="A471" t="n">
        <v>470</v>
      </c>
      <c r="B471" s="13" t="n">
        <v>45542</v>
      </c>
      <c r="C471" t="inlineStr">
        <is>
          <t>EUR_Operating</t>
        </is>
      </c>
      <c r="D471" t="inlineStr">
        <is>
          <t>EUR</t>
        </is>
      </c>
      <c r="E471" t="inlineStr">
        <is>
          <t>debit</t>
        </is>
      </c>
      <c r="F471" t="n">
        <v>5963.14</v>
      </c>
      <c r="G471" t="inlineStr">
        <is>
          <t>Supplier Payment</t>
        </is>
      </c>
      <c r="H471" t="inlineStr">
        <is>
          <t>Vend_C</t>
        </is>
      </c>
      <c r="I471" t="inlineStr">
        <is>
          <t>2024-09</t>
        </is>
      </c>
    </row>
    <row r="472">
      <c r="A472" t="n">
        <v>471</v>
      </c>
      <c r="B472" s="13" t="n">
        <v>45542</v>
      </c>
      <c r="C472" t="inlineStr">
        <is>
          <t>EUR_Operating</t>
        </is>
      </c>
      <c r="D472" t="inlineStr">
        <is>
          <t>EUR</t>
        </is>
      </c>
      <c r="E472" t="inlineStr">
        <is>
          <t>debit</t>
        </is>
      </c>
      <c r="F472" t="n">
        <v>3161.6</v>
      </c>
      <c r="G472" t="inlineStr">
        <is>
          <t>Supplier Payment</t>
        </is>
      </c>
      <c r="H472" t="inlineStr">
        <is>
          <t>Vend_A</t>
        </is>
      </c>
      <c r="I472" t="inlineStr">
        <is>
          <t>2024-09</t>
        </is>
      </c>
    </row>
    <row r="473">
      <c r="A473" t="n">
        <v>472</v>
      </c>
      <c r="B473" s="13" t="n">
        <v>45542</v>
      </c>
      <c r="C473" t="inlineStr">
        <is>
          <t>EUR_Operating</t>
        </is>
      </c>
      <c r="D473" t="inlineStr">
        <is>
          <t>EUR</t>
        </is>
      </c>
      <c r="E473" t="inlineStr">
        <is>
          <t>debit</t>
        </is>
      </c>
      <c r="F473" t="n">
        <v>4554.71</v>
      </c>
      <c r="G473" t="inlineStr">
        <is>
          <t>Supplier Payment</t>
        </is>
      </c>
      <c r="H473" t="inlineStr">
        <is>
          <t>Vend_A</t>
        </is>
      </c>
      <c r="I473" t="inlineStr">
        <is>
          <t>2024-09</t>
        </is>
      </c>
    </row>
    <row r="474">
      <c r="A474" t="n">
        <v>473</v>
      </c>
      <c r="B474" s="13" t="n">
        <v>45543</v>
      </c>
      <c r="C474" t="inlineStr">
        <is>
          <t>EUR_Operating</t>
        </is>
      </c>
      <c r="D474" t="inlineStr">
        <is>
          <t>EUR</t>
        </is>
      </c>
      <c r="E474" t="inlineStr">
        <is>
          <t>credit</t>
        </is>
      </c>
      <c r="F474" t="n">
        <v>2727.57</v>
      </c>
      <c r="G474" t="inlineStr">
        <is>
          <t>Customer Payment</t>
        </is>
      </c>
      <c r="H474" t="inlineStr">
        <is>
          <t>Cust_C</t>
        </is>
      </c>
      <c r="I474" t="inlineStr">
        <is>
          <t>2024-09</t>
        </is>
      </c>
    </row>
    <row r="475">
      <c r="A475" t="n">
        <v>474</v>
      </c>
      <c r="B475" s="13" t="n">
        <v>45543</v>
      </c>
      <c r="C475" t="inlineStr">
        <is>
          <t>EUR_Operating</t>
        </is>
      </c>
      <c r="D475" t="inlineStr">
        <is>
          <t>EUR</t>
        </is>
      </c>
      <c r="E475" t="inlineStr">
        <is>
          <t>credit</t>
        </is>
      </c>
      <c r="F475" t="n">
        <v>10243.3</v>
      </c>
      <c r="G475" t="inlineStr">
        <is>
          <t>Customer Payment</t>
        </is>
      </c>
      <c r="H475" t="inlineStr">
        <is>
          <t>Cust_D</t>
        </is>
      </c>
      <c r="I475" t="inlineStr">
        <is>
          <t>2024-09</t>
        </is>
      </c>
    </row>
    <row r="476">
      <c r="A476" t="n">
        <v>475</v>
      </c>
      <c r="B476" s="13" t="n">
        <v>45543</v>
      </c>
      <c r="C476" t="inlineStr">
        <is>
          <t>EUR_Operating</t>
        </is>
      </c>
      <c r="D476" t="inlineStr">
        <is>
          <t>EUR</t>
        </is>
      </c>
      <c r="E476" t="inlineStr">
        <is>
          <t>debit</t>
        </is>
      </c>
      <c r="F476" t="n">
        <v>4466.47</v>
      </c>
      <c r="G476" t="inlineStr">
        <is>
          <t>Supplier Payment</t>
        </is>
      </c>
      <c r="H476" t="inlineStr">
        <is>
          <t>Vend_B</t>
        </is>
      </c>
      <c r="I476" t="inlineStr">
        <is>
          <t>2024-09</t>
        </is>
      </c>
    </row>
    <row r="477">
      <c r="A477" t="n">
        <v>476</v>
      </c>
      <c r="B477" s="13" t="n">
        <v>45544</v>
      </c>
      <c r="C477" t="inlineStr">
        <is>
          <t>EUR_Operating</t>
        </is>
      </c>
      <c r="D477" t="inlineStr">
        <is>
          <t>EUR</t>
        </is>
      </c>
      <c r="E477" t="inlineStr">
        <is>
          <t>credit</t>
        </is>
      </c>
      <c r="F477" t="n">
        <v>5893.77</v>
      </c>
      <c r="G477" t="inlineStr">
        <is>
          <t>Customer Payment</t>
        </is>
      </c>
      <c r="H477" t="inlineStr">
        <is>
          <t>Cust_B</t>
        </is>
      </c>
      <c r="I477" t="inlineStr">
        <is>
          <t>2024-09</t>
        </is>
      </c>
    </row>
    <row r="478">
      <c r="A478" t="n">
        <v>477</v>
      </c>
      <c r="B478" s="13" t="n">
        <v>45544</v>
      </c>
      <c r="C478" t="inlineStr">
        <is>
          <t>EUR_Operating</t>
        </is>
      </c>
      <c r="D478" t="inlineStr">
        <is>
          <t>EUR</t>
        </is>
      </c>
      <c r="E478" t="inlineStr">
        <is>
          <t>credit</t>
        </is>
      </c>
      <c r="F478" t="n">
        <v>25923.22</v>
      </c>
      <c r="G478" t="inlineStr">
        <is>
          <t>Customer Payment</t>
        </is>
      </c>
      <c r="H478" t="inlineStr">
        <is>
          <t>Cust_C</t>
        </is>
      </c>
      <c r="I478" t="inlineStr">
        <is>
          <t>2024-09</t>
        </is>
      </c>
    </row>
    <row r="479">
      <c r="A479" t="n">
        <v>478</v>
      </c>
      <c r="B479" s="13" t="n">
        <v>45545</v>
      </c>
      <c r="C479" t="inlineStr">
        <is>
          <t>USD_Sales</t>
        </is>
      </c>
      <c r="D479" t="inlineStr">
        <is>
          <t>USD</t>
        </is>
      </c>
      <c r="E479" t="inlineStr">
        <is>
          <t>credit</t>
        </is>
      </c>
      <c r="F479" t="n">
        <v>15110.81</v>
      </c>
      <c r="G479" t="inlineStr">
        <is>
          <t>Customer Payment</t>
        </is>
      </c>
      <c r="H479" t="inlineStr">
        <is>
          <t>Cust_C</t>
        </is>
      </c>
      <c r="I479" t="inlineStr">
        <is>
          <t>2024-09</t>
        </is>
      </c>
    </row>
    <row r="480">
      <c r="A480" t="n">
        <v>479</v>
      </c>
      <c r="B480" s="13" t="n">
        <v>45545</v>
      </c>
      <c r="C480" t="inlineStr">
        <is>
          <t>EUR_Operating</t>
        </is>
      </c>
      <c r="D480" t="inlineStr">
        <is>
          <t>EUR</t>
        </is>
      </c>
      <c r="E480" t="inlineStr">
        <is>
          <t>debit</t>
        </is>
      </c>
      <c r="F480" t="n">
        <v>3161.6</v>
      </c>
      <c r="G480" t="inlineStr">
        <is>
          <t>Supplier Payment</t>
        </is>
      </c>
      <c r="H480" t="inlineStr">
        <is>
          <t>Vend_A</t>
        </is>
      </c>
      <c r="I480" t="inlineStr">
        <is>
          <t>2024-09</t>
        </is>
      </c>
    </row>
    <row r="481">
      <c r="A481" t="n">
        <v>480</v>
      </c>
      <c r="B481" s="13" t="n">
        <v>45545</v>
      </c>
      <c r="C481" t="inlineStr">
        <is>
          <t>USD_Sales</t>
        </is>
      </c>
      <c r="D481" t="inlineStr">
        <is>
          <t>USD</t>
        </is>
      </c>
      <c r="E481" t="inlineStr">
        <is>
          <t>debit</t>
        </is>
      </c>
      <c r="F481" t="n">
        <v>6893.93</v>
      </c>
      <c r="G481" t="inlineStr">
        <is>
          <t>Supplier Payment</t>
        </is>
      </c>
      <c r="H481" t="inlineStr">
        <is>
          <t>Vend_B</t>
        </is>
      </c>
      <c r="I481" t="inlineStr">
        <is>
          <t>2024-09</t>
        </is>
      </c>
    </row>
    <row r="482">
      <c r="A482" t="n">
        <v>481</v>
      </c>
      <c r="B482" s="13" t="n">
        <v>45545</v>
      </c>
      <c r="C482" t="inlineStr">
        <is>
          <t>EUR_Operating</t>
        </is>
      </c>
      <c r="D482" t="inlineStr">
        <is>
          <t>EUR</t>
        </is>
      </c>
      <c r="E482" t="inlineStr">
        <is>
          <t>debit</t>
        </is>
      </c>
      <c r="F482" t="n">
        <v>3491.02</v>
      </c>
      <c r="G482" t="inlineStr">
        <is>
          <t>Supplier Payment</t>
        </is>
      </c>
      <c r="H482" t="inlineStr">
        <is>
          <t>Vend_C</t>
        </is>
      </c>
      <c r="I482" t="inlineStr">
        <is>
          <t>2024-09</t>
        </is>
      </c>
    </row>
    <row r="483">
      <c r="A483" t="n">
        <v>482</v>
      </c>
      <c r="B483" s="13" t="n">
        <v>45546</v>
      </c>
      <c r="C483" t="inlineStr">
        <is>
          <t>EUR_Operating</t>
        </is>
      </c>
      <c r="D483" t="inlineStr">
        <is>
          <t>EUR</t>
        </is>
      </c>
      <c r="E483" t="inlineStr">
        <is>
          <t>debit</t>
        </is>
      </c>
      <c r="F483" t="n">
        <v>7851.07</v>
      </c>
      <c r="G483" t="inlineStr">
        <is>
          <t>Supplier Payment</t>
        </is>
      </c>
      <c r="H483" t="inlineStr">
        <is>
          <t>Vend_C</t>
        </is>
      </c>
      <c r="I483" t="inlineStr">
        <is>
          <t>2024-09</t>
        </is>
      </c>
    </row>
    <row r="484">
      <c r="A484" t="n">
        <v>483</v>
      </c>
      <c r="B484" s="13" t="n">
        <v>45546</v>
      </c>
      <c r="C484" t="inlineStr">
        <is>
          <t>EUR_Operating</t>
        </is>
      </c>
      <c r="D484" t="inlineStr">
        <is>
          <t>EUR</t>
        </is>
      </c>
      <c r="E484" t="inlineStr">
        <is>
          <t>debit</t>
        </is>
      </c>
      <c r="F484" t="n">
        <v>10037.64</v>
      </c>
      <c r="G484" t="inlineStr">
        <is>
          <t>Supplier Payment</t>
        </is>
      </c>
      <c r="H484" t="inlineStr">
        <is>
          <t>Vend_A</t>
        </is>
      </c>
      <c r="I484" t="inlineStr">
        <is>
          <t>2024-09</t>
        </is>
      </c>
    </row>
    <row r="485">
      <c r="A485" t="n">
        <v>484</v>
      </c>
      <c r="B485" s="13" t="n">
        <v>45547</v>
      </c>
      <c r="C485" t="inlineStr">
        <is>
          <t>EUR_Operating</t>
        </is>
      </c>
      <c r="D485" t="inlineStr">
        <is>
          <t>EUR</t>
        </is>
      </c>
      <c r="E485" t="inlineStr">
        <is>
          <t>credit</t>
        </is>
      </c>
      <c r="F485" t="n">
        <v>17643.68</v>
      </c>
      <c r="G485" t="inlineStr">
        <is>
          <t>Customer Payment</t>
        </is>
      </c>
      <c r="H485" t="inlineStr">
        <is>
          <t>Cust_B</t>
        </is>
      </c>
      <c r="I485" t="inlineStr">
        <is>
          <t>2024-09</t>
        </is>
      </c>
    </row>
    <row r="486">
      <c r="A486" t="n">
        <v>485</v>
      </c>
      <c r="B486" s="13" t="n">
        <v>45551</v>
      </c>
      <c r="C486" t="inlineStr">
        <is>
          <t>EUR_Operating</t>
        </is>
      </c>
      <c r="D486" t="inlineStr">
        <is>
          <t>EUR</t>
        </is>
      </c>
      <c r="E486" t="inlineStr">
        <is>
          <t>credit</t>
        </is>
      </c>
      <c r="F486" t="n">
        <v>16341.04</v>
      </c>
      <c r="G486" t="inlineStr">
        <is>
          <t>Customer Payment</t>
        </is>
      </c>
      <c r="H486" t="inlineStr">
        <is>
          <t>Cust_A</t>
        </is>
      </c>
      <c r="I486" t="inlineStr">
        <is>
          <t>2024-09</t>
        </is>
      </c>
    </row>
    <row r="487">
      <c r="A487" t="n">
        <v>486</v>
      </c>
      <c r="B487" s="13" t="n">
        <v>45551</v>
      </c>
      <c r="C487" t="inlineStr">
        <is>
          <t>USD_Sales</t>
        </is>
      </c>
      <c r="D487" t="inlineStr">
        <is>
          <t>USD</t>
        </is>
      </c>
      <c r="E487" t="inlineStr">
        <is>
          <t>debit</t>
        </is>
      </c>
      <c r="F487" t="n">
        <v>11189.81</v>
      </c>
      <c r="G487" t="inlineStr">
        <is>
          <t>Supplier Payment</t>
        </is>
      </c>
      <c r="H487" t="inlineStr">
        <is>
          <t>Vend_B</t>
        </is>
      </c>
      <c r="I487" t="inlineStr">
        <is>
          <t>2024-09</t>
        </is>
      </c>
    </row>
    <row r="488">
      <c r="A488" t="n">
        <v>487</v>
      </c>
      <c r="B488" s="13" t="n">
        <v>45551</v>
      </c>
      <c r="C488" t="inlineStr">
        <is>
          <t>JPY_Sales</t>
        </is>
      </c>
      <c r="D488" t="inlineStr">
        <is>
          <t>JPY</t>
        </is>
      </c>
      <c r="E488" t="inlineStr">
        <is>
          <t>debit</t>
        </is>
      </c>
      <c r="F488" t="n">
        <v>964.15</v>
      </c>
      <c r="G488" t="inlineStr">
        <is>
          <t>Supplier Payment</t>
        </is>
      </c>
      <c r="H488" t="inlineStr">
        <is>
          <t>Vend_B</t>
        </is>
      </c>
      <c r="I488" t="inlineStr">
        <is>
          <t>2024-09</t>
        </is>
      </c>
    </row>
    <row r="489">
      <c r="A489" t="n">
        <v>488</v>
      </c>
      <c r="B489" s="13" t="n">
        <v>45552</v>
      </c>
      <c r="C489" t="inlineStr">
        <is>
          <t>EUR_Operating</t>
        </is>
      </c>
      <c r="D489" t="inlineStr">
        <is>
          <t>EUR</t>
        </is>
      </c>
      <c r="E489" t="inlineStr">
        <is>
          <t>credit</t>
        </is>
      </c>
      <c r="F489" t="n">
        <v>16432.5</v>
      </c>
      <c r="G489" t="inlineStr">
        <is>
          <t>Customer Payment</t>
        </is>
      </c>
      <c r="H489" t="inlineStr">
        <is>
          <t>Cust_A</t>
        </is>
      </c>
      <c r="I489" t="inlineStr">
        <is>
          <t>2024-09</t>
        </is>
      </c>
    </row>
    <row r="490">
      <c r="A490" t="n">
        <v>489</v>
      </c>
      <c r="B490" s="13" t="n">
        <v>45552</v>
      </c>
      <c r="C490" t="inlineStr">
        <is>
          <t>JPY_Sales</t>
        </is>
      </c>
      <c r="D490" t="inlineStr">
        <is>
          <t>JPY</t>
        </is>
      </c>
      <c r="E490" t="inlineStr">
        <is>
          <t>debit</t>
        </is>
      </c>
      <c r="F490" t="n">
        <v>964.15</v>
      </c>
      <c r="G490" t="inlineStr">
        <is>
          <t>Supplier Payment</t>
        </is>
      </c>
      <c r="H490" t="inlineStr">
        <is>
          <t>Vend_B</t>
        </is>
      </c>
      <c r="I490" t="inlineStr">
        <is>
          <t>2024-09</t>
        </is>
      </c>
    </row>
    <row r="491">
      <c r="A491" t="n">
        <v>490</v>
      </c>
      <c r="B491" s="13" t="n">
        <v>45553</v>
      </c>
      <c r="C491" t="inlineStr">
        <is>
          <t>EUR_Operating</t>
        </is>
      </c>
      <c r="D491" t="inlineStr">
        <is>
          <t>EUR</t>
        </is>
      </c>
      <c r="E491" t="inlineStr">
        <is>
          <t>debit</t>
        </is>
      </c>
      <c r="F491" t="n">
        <v>2811.37</v>
      </c>
      <c r="G491" t="inlineStr">
        <is>
          <t>Supplier Payment</t>
        </is>
      </c>
      <c r="H491" t="inlineStr">
        <is>
          <t>Vend_C</t>
        </is>
      </c>
      <c r="I491" t="inlineStr">
        <is>
          <t>2024-09</t>
        </is>
      </c>
    </row>
    <row r="492">
      <c r="A492" t="n">
        <v>491</v>
      </c>
      <c r="B492" s="13" t="n">
        <v>45553</v>
      </c>
      <c r="C492" t="inlineStr">
        <is>
          <t>EUR_Operating</t>
        </is>
      </c>
      <c r="D492" t="inlineStr">
        <is>
          <t>EUR</t>
        </is>
      </c>
      <c r="E492" t="inlineStr">
        <is>
          <t>debit</t>
        </is>
      </c>
      <c r="F492" t="n">
        <v>1717.43</v>
      </c>
      <c r="G492" t="inlineStr">
        <is>
          <t>Supplier Payment</t>
        </is>
      </c>
      <c r="H492" t="inlineStr">
        <is>
          <t>Vend_A</t>
        </is>
      </c>
      <c r="I492" t="inlineStr">
        <is>
          <t>2024-09</t>
        </is>
      </c>
    </row>
    <row r="493">
      <c r="A493" t="n">
        <v>492</v>
      </c>
      <c r="B493" s="13" t="n">
        <v>45554</v>
      </c>
      <c r="C493" t="inlineStr">
        <is>
          <t>EUR_Operating</t>
        </is>
      </c>
      <c r="D493" t="inlineStr">
        <is>
          <t>EUR</t>
        </is>
      </c>
      <c r="E493" t="inlineStr">
        <is>
          <t>credit</t>
        </is>
      </c>
      <c r="F493" t="n">
        <v>6220.55</v>
      </c>
      <c r="G493" t="inlineStr">
        <is>
          <t>Customer Payment</t>
        </is>
      </c>
      <c r="H493" t="inlineStr">
        <is>
          <t>Cust_D</t>
        </is>
      </c>
      <c r="I493" t="inlineStr">
        <is>
          <t>2024-09</t>
        </is>
      </c>
    </row>
    <row r="494">
      <c r="A494" t="n">
        <v>493</v>
      </c>
      <c r="B494" s="13" t="n">
        <v>45554</v>
      </c>
      <c r="C494" t="inlineStr">
        <is>
          <t>EUR_Operating</t>
        </is>
      </c>
      <c r="D494" t="inlineStr">
        <is>
          <t>EUR</t>
        </is>
      </c>
      <c r="E494" t="inlineStr">
        <is>
          <t>credit</t>
        </is>
      </c>
      <c r="F494" t="n">
        <v>3387.63</v>
      </c>
      <c r="G494" t="inlineStr">
        <is>
          <t>Customer Payment</t>
        </is>
      </c>
      <c r="H494" t="inlineStr">
        <is>
          <t>Cust_B</t>
        </is>
      </c>
      <c r="I494" t="inlineStr">
        <is>
          <t>2024-09</t>
        </is>
      </c>
    </row>
    <row r="495">
      <c r="A495" t="n">
        <v>494</v>
      </c>
      <c r="B495" s="13" t="n">
        <v>45554</v>
      </c>
      <c r="C495" t="inlineStr">
        <is>
          <t>JPY_Sales</t>
        </is>
      </c>
      <c r="D495" t="inlineStr">
        <is>
          <t>JPY</t>
        </is>
      </c>
      <c r="E495" t="inlineStr">
        <is>
          <t>debit</t>
        </is>
      </c>
      <c r="F495" t="n">
        <v>4024.8</v>
      </c>
      <c r="G495" t="inlineStr">
        <is>
          <t>Supplier Payment</t>
        </is>
      </c>
      <c r="H495" t="inlineStr">
        <is>
          <t>Vend_A</t>
        </is>
      </c>
      <c r="I495" t="inlineStr">
        <is>
          <t>2024-09</t>
        </is>
      </c>
    </row>
    <row r="496">
      <c r="A496" t="n">
        <v>495</v>
      </c>
      <c r="B496" s="13" t="n">
        <v>45555</v>
      </c>
      <c r="C496" t="inlineStr">
        <is>
          <t>JPY_Sales</t>
        </is>
      </c>
      <c r="D496" t="inlineStr">
        <is>
          <t>JPY</t>
        </is>
      </c>
      <c r="E496" t="inlineStr">
        <is>
          <t>credit</t>
        </is>
      </c>
      <c r="F496" t="n">
        <v>2150279</v>
      </c>
      <c r="G496" t="inlineStr">
        <is>
          <t>Customer Payment</t>
        </is>
      </c>
      <c r="H496" t="inlineStr">
        <is>
          <t>Cust_B</t>
        </is>
      </c>
      <c r="I496" t="inlineStr">
        <is>
          <t>2024-09</t>
        </is>
      </c>
    </row>
    <row r="497">
      <c r="A497" t="n">
        <v>496</v>
      </c>
      <c r="B497" s="13" t="n">
        <v>45555</v>
      </c>
      <c r="C497" t="inlineStr">
        <is>
          <t>EUR_Operating</t>
        </is>
      </c>
      <c r="D497" t="inlineStr">
        <is>
          <t>EUR</t>
        </is>
      </c>
      <c r="E497" t="inlineStr">
        <is>
          <t>debit</t>
        </is>
      </c>
      <c r="F497" t="n">
        <v>6126.56</v>
      </c>
      <c r="G497" t="inlineStr">
        <is>
          <t>Supplier Payment</t>
        </is>
      </c>
      <c r="H497" t="inlineStr">
        <is>
          <t>Vend_B</t>
        </is>
      </c>
      <c r="I497" t="inlineStr">
        <is>
          <t>2024-09</t>
        </is>
      </c>
    </row>
    <row r="498">
      <c r="A498" t="n">
        <v>497</v>
      </c>
      <c r="B498" s="13" t="n">
        <v>45556</v>
      </c>
      <c r="C498" t="inlineStr">
        <is>
          <t>EUR_Operating</t>
        </is>
      </c>
      <c r="D498" t="inlineStr">
        <is>
          <t>EUR</t>
        </is>
      </c>
      <c r="E498" t="inlineStr">
        <is>
          <t>debit</t>
        </is>
      </c>
      <c r="F498" t="n">
        <v>1367.38</v>
      </c>
      <c r="G498" t="inlineStr">
        <is>
          <t>Supplier Payment</t>
        </is>
      </c>
      <c r="H498" t="inlineStr">
        <is>
          <t>Vend_B</t>
        </is>
      </c>
      <c r="I498" t="inlineStr">
        <is>
          <t>2024-09</t>
        </is>
      </c>
    </row>
    <row r="499">
      <c r="A499" t="n">
        <v>498</v>
      </c>
      <c r="B499" s="13" t="n">
        <v>45556</v>
      </c>
      <c r="C499" t="inlineStr">
        <is>
          <t>EUR_Operating</t>
        </is>
      </c>
      <c r="D499" t="inlineStr">
        <is>
          <t>EUR</t>
        </is>
      </c>
      <c r="E499" t="inlineStr">
        <is>
          <t>debit</t>
        </is>
      </c>
      <c r="F499" t="n">
        <v>7557.18</v>
      </c>
      <c r="G499" t="inlineStr">
        <is>
          <t>Supplier Payment</t>
        </is>
      </c>
      <c r="H499" t="inlineStr">
        <is>
          <t>Vend_B</t>
        </is>
      </c>
      <c r="I499" t="inlineStr">
        <is>
          <t>2024-09</t>
        </is>
      </c>
    </row>
    <row r="500">
      <c r="A500" t="n">
        <v>499</v>
      </c>
      <c r="B500" s="13" t="n">
        <v>45556</v>
      </c>
      <c r="C500" t="inlineStr">
        <is>
          <t>EUR_Operating</t>
        </is>
      </c>
      <c r="D500" t="inlineStr">
        <is>
          <t>EUR</t>
        </is>
      </c>
      <c r="E500" t="inlineStr">
        <is>
          <t>debit</t>
        </is>
      </c>
      <c r="F500" t="n">
        <v>8611.76</v>
      </c>
      <c r="G500" t="inlineStr">
        <is>
          <t>Supplier Payment</t>
        </is>
      </c>
      <c r="H500" t="inlineStr">
        <is>
          <t>Vend_C</t>
        </is>
      </c>
      <c r="I500" t="inlineStr">
        <is>
          <t>2024-09</t>
        </is>
      </c>
    </row>
    <row r="501">
      <c r="A501" t="n">
        <v>500</v>
      </c>
      <c r="B501" s="13" t="n">
        <v>45557</v>
      </c>
      <c r="C501" t="inlineStr">
        <is>
          <t>EUR_Operating</t>
        </is>
      </c>
      <c r="D501" t="inlineStr">
        <is>
          <t>EUR</t>
        </is>
      </c>
      <c r="E501" t="inlineStr">
        <is>
          <t>credit</t>
        </is>
      </c>
      <c r="F501" t="n">
        <v>4204.6</v>
      </c>
      <c r="G501" t="inlineStr">
        <is>
          <t>Customer Payment</t>
        </is>
      </c>
      <c r="H501" t="inlineStr">
        <is>
          <t>Cust_D</t>
        </is>
      </c>
      <c r="I501" t="inlineStr">
        <is>
          <t>2024-09</t>
        </is>
      </c>
    </row>
    <row r="502">
      <c r="A502" t="n">
        <v>501</v>
      </c>
      <c r="B502" s="13" t="n">
        <v>45557</v>
      </c>
      <c r="C502" t="inlineStr">
        <is>
          <t>EUR_Operating</t>
        </is>
      </c>
      <c r="D502" t="inlineStr">
        <is>
          <t>EUR</t>
        </is>
      </c>
      <c r="E502" t="inlineStr">
        <is>
          <t>debit</t>
        </is>
      </c>
      <c r="F502" t="n">
        <v>4941.87</v>
      </c>
      <c r="G502" t="inlineStr">
        <is>
          <t>Supplier Payment</t>
        </is>
      </c>
      <c r="H502" t="inlineStr">
        <is>
          <t>Vend_C</t>
        </is>
      </c>
      <c r="I502" t="inlineStr">
        <is>
          <t>2024-09</t>
        </is>
      </c>
    </row>
    <row r="503">
      <c r="A503" t="n">
        <v>502</v>
      </c>
      <c r="B503" s="13" t="n">
        <v>45558</v>
      </c>
      <c r="C503" t="inlineStr">
        <is>
          <t>EUR_Operating</t>
        </is>
      </c>
      <c r="D503" t="inlineStr">
        <is>
          <t>EUR</t>
        </is>
      </c>
      <c r="E503" t="inlineStr">
        <is>
          <t>credit</t>
        </is>
      </c>
      <c r="F503" t="n">
        <v>11420.37</v>
      </c>
      <c r="G503" t="inlineStr">
        <is>
          <t>Customer Payment</t>
        </is>
      </c>
      <c r="H503" t="inlineStr">
        <is>
          <t>Cust_B</t>
        </is>
      </c>
      <c r="I503" t="inlineStr">
        <is>
          <t>2024-09</t>
        </is>
      </c>
    </row>
    <row r="504">
      <c r="A504" t="n">
        <v>503</v>
      </c>
      <c r="B504" s="13" t="n">
        <v>45559</v>
      </c>
      <c r="C504" t="inlineStr">
        <is>
          <t>EUR_Operating</t>
        </is>
      </c>
      <c r="D504" t="inlineStr">
        <is>
          <t>EUR</t>
        </is>
      </c>
      <c r="E504" t="inlineStr">
        <is>
          <t>credit</t>
        </is>
      </c>
      <c r="F504" t="n">
        <v>6336.29</v>
      </c>
      <c r="G504" t="inlineStr">
        <is>
          <t>Customer Payment</t>
        </is>
      </c>
      <c r="H504" t="inlineStr">
        <is>
          <t>Cust_B</t>
        </is>
      </c>
      <c r="I504" t="inlineStr">
        <is>
          <t>2024-09</t>
        </is>
      </c>
    </row>
    <row r="505">
      <c r="A505" t="n">
        <v>504</v>
      </c>
      <c r="B505" s="13" t="n">
        <v>45559</v>
      </c>
      <c r="C505" t="inlineStr">
        <is>
          <t>EUR_Operating</t>
        </is>
      </c>
      <c r="D505" t="inlineStr">
        <is>
          <t>EUR</t>
        </is>
      </c>
      <c r="E505" t="inlineStr">
        <is>
          <t>credit</t>
        </is>
      </c>
      <c r="F505" t="n">
        <v>11949.55</v>
      </c>
      <c r="G505" t="inlineStr">
        <is>
          <t>Customer Payment</t>
        </is>
      </c>
      <c r="H505" t="inlineStr">
        <is>
          <t>Cust_B</t>
        </is>
      </c>
      <c r="I505" t="inlineStr">
        <is>
          <t>2024-09</t>
        </is>
      </c>
    </row>
    <row r="506">
      <c r="A506" t="n">
        <v>505</v>
      </c>
      <c r="B506" s="13" t="n">
        <v>45560</v>
      </c>
      <c r="C506" t="inlineStr">
        <is>
          <t>EUR_Operating</t>
        </is>
      </c>
      <c r="D506" t="inlineStr">
        <is>
          <t>EUR</t>
        </is>
      </c>
      <c r="E506" t="inlineStr">
        <is>
          <t>credit</t>
        </is>
      </c>
      <c r="F506" t="n">
        <v>8232.68</v>
      </c>
      <c r="G506" t="inlineStr">
        <is>
          <t>Customer Payment</t>
        </is>
      </c>
      <c r="H506" t="inlineStr">
        <is>
          <t>Cust_D</t>
        </is>
      </c>
      <c r="I506" t="inlineStr">
        <is>
          <t>2024-09</t>
        </is>
      </c>
    </row>
    <row r="507">
      <c r="A507" t="n">
        <v>506</v>
      </c>
      <c r="B507" s="13" t="n">
        <v>45560</v>
      </c>
      <c r="C507" t="inlineStr">
        <is>
          <t>EUR_Operating</t>
        </is>
      </c>
      <c r="D507" t="inlineStr">
        <is>
          <t>EUR</t>
        </is>
      </c>
      <c r="E507" t="inlineStr">
        <is>
          <t>debit</t>
        </is>
      </c>
      <c r="F507" t="n">
        <v>2290.16</v>
      </c>
      <c r="G507" t="inlineStr">
        <is>
          <t>Supplier Payment</t>
        </is>
      </c>
      <c r="H507" t="inlineStr">
        <is>
          <t>Vend_A</t>
        </is>
      </c>
      <c r="I507" t="inlineStr">
        <is>
          <t>2024-09</t>
        </is>
      </c>
    </row>
    <row r="508">
      <c r="A508" t="n">
        <v>507</v>
      </c>
      <c r="B508" s="13" t="n">
        <v>45560</v>
      </c>
      <c r="C508" t="inlineStr">
        <is>
          <t>EUR_Operating</t>
        </is>
      </c>
      <c r="D508" t="inlineStr">
        <is>
          <t>EUR</t>
        </is>
      </c>
      <c r="E508" t="inlineStr">
        <is>
          <t>debit</t>
        </is>
      </c>
      <c r="F508" t="n">
        <v>6632.26</v>
      </c>
      <c r="G508" t="inlineStr">
        <is>
          <t>Supplier Payment</t>
        </is>
      </c>
      <c r="H508" t="inlineStr">
        <is>
          <t>Vend_B</t>
        </is>
      </c>
      <c r="I508" t="inlineStr">
        <is>
          <t>2024-09</t>
        </is>
      </c>
    </row>
    <row r="509">
      <c r="A509" t="n">
        <v>508</v>
      </c>
      <c r="B509" s="13" t="n">
        <v>45560</v>
      </c>
      <c r="C509" t="inlineStr">
        <is>
          <t>USD_Sales</t>
        </is>
      </c>
      <c r="D509" t="inlineStr">
        <is>
          <t>USD</t>
        </is>
      </c>
      <c r="E509" t="inlineStr">
        <is>
          <t>debit</t>
        </is>
      </c>
      <c r="F509" t="n">
        <v>12275.5</v>
      </c>
      <c r="G509" t="inlineStr">
        <is>
          <t>Supplier Payment</t>
        </is>
      </c>
      <c r="H509" t="inlineStr">
        <is>
          <t>Vend_B</t>
        </is>
      </c>
      <c r="I509" t="inlineStr">
        <is>
          <t>2024-09</t>
        </is>
      </c>
    </row>
    <row r="510">
      <c r="A510" t="n">
        <v>509</v>
      </c>
      <c r="B510" s="13" t="n">
        <v>45560</v>
      </c>
      <c r="C510" t="inlineStr">
        <is>
          <t>EUR_Payroll</t>
        </is>
      </c>
      <c r="D510" t="inlineStr">
        <is>
          <t>EUR</t>
        </is>
      </c>
      <c r="E510" t="inlineStr">
        <is>
          <t>debit</t>
        </is>
      </c>
      <c r="F510" t="n">
        <v>123697.87</v>
      </c>
      <c r="G510" t="inlineStr">
        <is>
          <t>Payroll</t>
        </is>
      </c>
      <c r="H510" t="inlineStr">
        <is>
          <t>Payroll</t>
        </is>
      </c>
      <c r="I510" t="inlineStr">
        <is>
          <t>2024-09</t>
        </is>
      </c>
    </row>
    <row r="511">
      <c r="A511" t="n">
        <v>510</v>
      </c>
      <c r="B511" s="13" t="n">
        <v>45560</v>
      </c>
      <c r="C511" t="inlineStr">
        <is>
          <t>EUR_Operating</t>
        </is>
      </c>
      <c r="D511" t="inlineStr">
        <is>
          <t>EUR</t>
        </is>
      </c>
      <c r="E511" t="inlineStr">
        <is>
          <t>debit</t>
        </is>
      </c>
      <c r="F511" t="n">
        <v>123697.87</v>
      </c>
      <c r="G511" t="inlineStr">
        <is>
          <t>Transfer to Payroll</t>
        </is>
      </c>
      <c r="H511" t="inlineStr">
        <is>
          <t>Payroll</t>
        </is>
      </c>
      <c r="I511" t="inlineStr">
        <is>
          <t>2024-09</t>
        </is>
      </c>
    </row>
    <row r="512">
      <c r="A512" t="n">
        <v>511</v>
      </c>
      <c r="B512" s="13" t="n">
        <v>45561</v>
      </c>
      <c r="C512" t="inlineStr">
        <is>
          <t>EUR_Operating</t>
        </is>
      </c>
      <c r="D512" t="inlineStr">
        <is>
          <t>EUR</t>
        </is>
      </c>
      <c r="E512" t="inlineStr">
        <is>
          <t>credit</t>
        </is>
      </c>
      <c r="F512" t="n">
        <v>12768.31</v>
      </c>
      <c r="G512" t="inlineStr">
        <is>
          <t>Customer Payment</t>
        </is>
      </c>
      <c r="H512" t="inlineStr">
        <is>
          <t>Cust_D</t>
        </is>
      </c>
      <c r="I512" t="inlineStr">
        <is>
          <t>2024-09</t>
        </is>
      </c>
    </row>
    <row r="513">
      <c r="A513" t="n">
        <v>512</v>
      </c>
      <c r="B513" s="13" t="n">
        <v>45561</v>
      </c>
      <c r="C513" t="inlineStr">
        <is>
          <t>EUR_Operating</t>
        </is>
      </c>
      <c r="D513" t="inlineStr">
        <is>
          <t>EUR</t>
        </is>
      </c>
      <c r="E513" t="inlineStr">
        <is>
          <t>debit</t>
        </is>
      </c>
      <c r="F513" t="n">
        <v>1473.73</v>
      </c>
      <c r="G513" t="inlineStr">
        <is>
          <t>Supplier Payment</t>
        </is>
      </c>
      <c r="H513" t="inlineStr">
        <is>
          <t>Vend_B</t>
        </is>
      </c>
      <c r="I513" t="inlineStr">
        <is>
          <t>2024-09</t>
        </is>
      </c>
    </row>
    <row r="514">
      <c r="A514" t="n">
        <v>513</v>
      </c>
      <c r="B514" s="13" t="n">
        <v>45561</v>
      </c>
      <c r="C514" t="inlineStr">
        <is>
          <t>EUR_Operating</t>
        </is>
      </c>
      <c r="D514" t="inlineStr">
        <is>
          <t>EUR</t>
        </is>
      </c>
      <c r="E514" t="inlineStr">
        <is>
          <t>debit</t>
        </is>
      </c>
      <c r="F514" t="n">
        <v>1319.92</v>
      </c>
      <c r="G514" t="inlineStr">
        <is>
          <t>Supplier Payment</t>
        </is>
      </c>
      <c r="H514" t="inlineStr">
        <is>
          <t>Vend_A</t>
        </is>
      </c>
      <c r="I514" t="inlineStr">
        <is>
          <t>2024-09</t>
        </is>
      </c>
    </row>
    <row r="515">
      <c r="A515" t="n">
        <v>514</v>
      </c>
      <c r="B515" s="13" t="n">
        <v>45563</v>
      </c>
      <c r="C515" t="inlineStr">
        <is>
          <t>EUR_Operating</t>
        </is>
      </c>
      <c r="D515" t="inlineStr">
        <is>
          <t>EUR</t>
        </is>
      </c>
      <c r="E515" t="inlineStr">
        <is>
          <t>credit</t>
        </is>
      </c>
      <c r="F515" t="n">
        <v>8593.48</v>
      </c>
      <c r="G515" t="inlineStr">
        <is>
          <t>Customer Payment</t>
        </is>
      </c>
      <c r="H515" t="inlineStr">
        <is>
          <t>Cust_C</t>
        </is>
      </c>
      <c r="I515" t="inlineStr">
        <is>
          <t>2024-09</t>
        </is>
      </c>
    </row>
    <row r="516">
      <c r="A516" t="n">
        <v>515</v>
      </c>
      <c r="B516" s="13" t="n">
        <v>45563</v>
      </c>
      <c r="C516" t="inlineStr">
        <is>
          <t>EUR_Operating</t>
        </is>
      </c>
      <c r="D516" t="inlineStr">
        <is>
          <t>EUR</t>
        </is>
      </c>
      <c r="E516" t="inlineStr">
        <is>
          <t>credit</t>
        </is>
      </c>
      <c r="F516" t="n">
        <v>17824.71</v>
      </c>
      <c r="G516" t="inlineStr">
        <is>
          <t>Customer Payment</t>
        </is>
      </c>
      <c r="H516" t="inlineStr">
        <is>
          <t>Cust_C</t>
        </is>
      </c>
      <c r="I516" t="inlineStr">
        <is>
          <t>2024-09</t>
        </is>
      </c>
    </row>
    <row r="517">
      <c r="A517" t="n">
        <v>516</v>
      </c>
      <c r="B517" s="13" t="n">
        <v>45564</v>
      </c>
      <c r="C517" t="inlineStr">
        <is>
          <t>EUR_Operating</t>
        </is>
      </c>
      <c r="D517" t="inlineStr">
        <is>
          <t>EUR</t>
        </is>
      </c>
      <c r="E517" t="inlineStr">
        <is>
          <t>debit</t>
        </is>
      </c>
      <c r="F517" t="n">
        <v>6472.5</v>
      </c>
      <c r="G517" t="inlineStr">
        <is>
          <t>Supplier Payment</t>
        </is>
      </c>
      <c r="H517" t="inlineStr">
        <is>
          <t>Vend_A</t>
        </is>
      </c>
      <c r="I517" t="inlineStr">
        <is>
          <t>2024-09</t>
        </is>
      </c>
    </row>
    <row r="518">
      <c r="A518" t="n">
        <v>517</v>
      </c>
      <c r="B518" s="13" t="n">
        <v>45565</v>
      </c>
      <c r="C518" t="inlineStr">
        <is>
          <t>EUR_Operating</t>
        </is>
      </c>
      <c r="D518" t="inlineStr">
        <is>
          <t>EUR</t>
        </is>
      </c>
      <c r="E518" t="inlineStr">
        <is>
          <t>credit</t>
        </is>
      </c>
      <c r="F518" t="n">
        <v>12991.66</v>
      </c>
      <c r="G518" t="inlineStr">
        <is>
          <t>Customer Payment</t>
        </is>
      </c>
      <c r="H518" t="inlineStr">
        <is>
          <t>Cust_B</t>
        </is>
      </c>
      <c r="I518" t="inlineStr">
        <is>
          <t>2024-09</t>
        </is>
      </c>
    </row>
    <row r="519">
      <c r="A519" t="n">
        <v>518</v>
      </c>
      <c r="B519" s="13" t="n">
        <v>45565</v>
      </c>
      <c r="C519" t="inlineStr">
        <is>
          <t>EUR_Operating</t>
        </is>
      </c>
      <c r="D519" t="inlineStr">
        <is>
          <t>EUR</t>
        </is>
      </c>
      <c r="E519" t="inlineStr">
        <is>
          <t>credit</t>
        </is>
      </c>
      <c r="F519" t="n">
        <v>20041.72</v>
      </c>
      <c r="G519" t="inlineStr">
        <is>
          <t>Customer Payment</t>
        </is>
      </c>
      <c r="H519" t="inlineStr">
        <is>
          <t>Cust_C</t>
        </is>
      </c>
      <c r="I519" t="inlineStr">
        <is>
          <t>2024-09</t>
        </is>
      </c>
    </row>
    <row r="520">
      <c r="A520" t="n">
        <v>519</v>
      </c>
      <c r="B520" s="13" t="n">
        <v>45565</v>
      </c>
      <c r="C520" t="inlineStr">
        <is>
          <t>EUR_Operating</t>
        </is>
      </c>
      <c r="D520" t="inlineStr">
        <is>
          <t>EUR</t>
        </is>
      </c>
      <c r="E520" t="inlineStr">
        <is>
          <t>debit</t>
        </is>
      </c>
      <c r="F520" t="n">
        <v>1687.34</v>
      </c>
      <c r="G520" t="inlineStr">
        <is>
          <t>Supplier Payment</t>
        </is>
      </c>
      <c r="H520" t="inlineStr">
        <is>
          <t>Vend_A</t>
        </is>
      </c>
      <c r="I520" t="inlineStr">
        <is>
          <t>2024-09</t>
        </is>
      </c>
    </row>
    <row r="521">
      <c r="A521" t="n">
        <v>520</v>
      </c>
      <c r="B521" s="13" t="n">
        <v>45565</v>
      </c>
      <c r="C521" t="inlineStr">
        <is>
          <t>EUR_Operating</t>
        </is>
      </c>
      <c r="D521" t="inlineStr">
        <is>
          <t>EUR</t>
        </is>
      </c>
      <c r="E521" t="inlineStr">
        <is>
          <t>debit</t>
        </is>
      </c>
      <c r="F521" t="n">
        <v>6999.93</v>
      </c>
      <c r="G521" t="inlineStr">
        <is>
          <t>Supplier Payment</t>
        </is>
      </c>
      <c r="H521" t="inlineStr">
        <is>
          <t>Vend_B</t>
        </is>
      </c>
      <c r="I521" t="inlineStr">
        <is>
          <t>2024-09</t>
        </is>
      </c>
    </row>
    <row r="522">
      <c r="A522" t="n">
        <v>521</v>
      </c>
      <c r="B522" s="13" t="n">
        <v>45566</v>
      </c>
      <c r="C522" t="inlineStr">
        <is>
          <t>EUR_Operating</t>
        </is>
      </c>
      <c r="D522" t="inlineStr">
        <is>
          <t>EUR</t>
        </is>
      </c>
      <c r="E522" t="inlineStr">
        <is>
          <t>credit</t>
        </is>
      </c>
      <c r="F522" t="n">
        <v>6136.08</v>
      </c>
      <c r="G522" t="inlineStr">
        <is>
          <t>Customer Payment</t>
        </is>
      </c>
      <c r="H522" t="inlineStr">
        <is>
          <t>Cust_D</t>
        </is>
      </c>
      <c r="I522" t="inlineStr">
        <is>
          <t>2024-10</t>
        </is>
      </c>
    </row>
    <row r="523">
      <c r="A523" t="n">
        <v>522</v>
      </c>
      <c r="B523" s="13" t="n">
        <v>45566</v>
      </c>
      <c r="C523" t="inlineStr">
        <is>
          <t>EUR_Operating</t>
        </is>
      </c>
      <c r="D523" t="inlineStr">
        <is>
          <t>EUR</t>
        </is>
      </c>
      <c r="E523" t="inlineStr">
        <is>
          <t>credit</t>
        </is>
      </c>
      <c r="F523" t="n">
        <v>26072.54</v>
      </c>
      <c r="G523" t="inlineStr">
        <is>
          <t>Customer Payment</t>
        </is>
      </c>
      <c r="H523" t="inlineStr">
        <is>
          <t>Cust_B</t>
        </is>
      </c>
      <c r="I523" t="inlineStr">
        <is>
          <t>2024-10</t>
        </is>
      </c>
    </row>
    <row r="524">
      <c r="A524" t="n">
        <v>523</v>
      </c>
      <c r="B524" s="13" t="n">
        <v>45566</v>
      </c>
      <c r="C524" t="inlineStr">
        <is>
          <t>EUR_Operating</t>
        </is>
      </c>
      <c r="D524" t="inlineStr">
        <is>
          <t>EUR</t>
        </is>
      </c>
      <c r="E524" t="inlineStr">
        <is>
          <t>debit</t>
        </is>
      </c>
      <c r="F524" t="n">
        <v>2944.84</v>
      </c>
      <c r="G524" t="inlineStr">
        <is>
          <t>Supplier Payment</t>
        </is>
      </c>
      <c r="H524" t="inlineStr">
        <is>
          <t>Vend_B</t>
        </is>
      </c>
      <c r="I524" t="inlineStr">
        <is>
          <t>2024-10</t>
        </is>
      </c>
    </row>
    <row r="525">
      <c r="A525" t="n">
        <v>524</v>
      </c>
      <c r="B525" s="13" t="n">
        <v>45566</v>
      </c>
      <c r="C525" t="inlineStr">
        <is>
          <t>EUR_Operating</t>
        </is>
      </c>
      <c r="D525" t="inlineStr">
        <is>
          <t>EUR</t>
        </is>
      </c>
      <c r="E525" t="inlineStr">
        <is>
          <t>debit</t>
        </is>
      </c>
      <c r="F525" t="n">
        <v>11331.49</v>
      </c>
      <c r="G525" t="inlineStr">
        <is>
          <t>Supplier Payment</t>
        </is>
      </c>
      <c r="H525" t="inlineStr">
        <is>
          <t>Vend_B</t>
        </is>
      </c>
      <c r="I525" t="inlineStr">
        <is>
          <t>2024-10</t>
        </is>
      </c>
    </row>
    <row r="526">
      <c r="A526" t="n">
        <v>525</v>
      </c>
      <c r="B526" s="13" t="n">
        <v>45566</v>
      </c>
      <c r="C526" t="inlineStr">
        <is>
          <t>EUR_Operating</t>
        </is>
      </c>
      <c r="D526" t="inlineStr">
        <is>
          <t>EUR</t>
        </is>
      </c>
      <c r="E526" t="inlineStr">
        <is>
          <t>debit</t>
        </is>
      </c>
      <c r="F526" t="n">
        <v>27943.33</v>
      </c>
      <c r="G526" t="inlineStr">
        <is>
          <t>Loan Interest</t>
        </is>
      </c>
      <c r="H526" t="inlineStr">
        <is>
          <t>Bank Loan</t>
        </is>
      </c>
      <c r="I526" t="inlineStr">
        <is>
          <t>2024-10</t>
        </is>
      </c>
    </row>
    <row r="527">
      <c r="A527" t="n">
        <v>526</v>
      </c>
      <c r="B527" s="13" t="n">
        <v>45567</v>
      </c>
      <c r="C527" t="inlineStr">
        <is>
          <t>EUR_Operating</t>
        </is>
      </c>
      <c r="D527" t="inlineStr">
        <is>
          <t>EUR</t>
        </is>
      </c>
      <c r="E527" t="inlineStr">
        <is>
          <t>credit</t>
        </is>
      </c>
      <c r="F527" t="n">
        <v>9757.559999999999</v>
      </c>
      <c r="G527" t="inlineStr">
        <is>
          <t>Customer Payment</t>
        </is>
      </c>
      <c r="H527" t="inlineStr">
        <is>
          <t>Cust_C</t>
        </is>
      </c>
      <c r="I527" t="inlineStr">
        <is>
          <t>2024-10</t>
        </is>
      </c>
    </row>
    <row r="528">
      <c r="A528" t="n">
        <v>527</v>
      </c>
      <c r="B528" s="13" t="n">
        <v>45567</v>
      </c>
      <c r="C528" t="inlineStr">
        <is>
          <t>EUR_Operating</t>
        </is>
      </c>
      <c r="D528" t="inlineStr">
        <is>
          <t>EUR</t>
        </is>
      </c>
      <c r="E528" t="inlineStr">
        <is>
          <t>credit</t>
        </is>
      </c>
      <c r="F528" t="n">
        <v>2252.36</v>
      </c>
      <c r="G528" t="inlineStr">
        <is>
          <t>Customer Payment</t>
        </is>
      </c>
      <c r="H528" t="inlineStr">
        <is>
          <t>Cust_D</t>
        </is>
      </c>
      <c r="I528" t="inlineStr">
        <is>
          <t>2024-10</t>
        </is>
      </c>
    </row>
    <row r="529">
      <c r="A529" t="n">
        <v>528</v>
      </c>
      <c r="B529" s="13" t="n">
        <v>45567</v>
      </c>
      <c r="C529" t="inlineStr">
        <is>
          <t>JPY_Sales</t>
        </is>
      </c>
      <c r="D529" t="inlineStr">
        <is>
          <t>JPY</t>
        </is>
      </c>
      <c r="E529" t="inlineStr">
        <is>
          <t>debit</t>
        </is>
      </c>
      <c r="F529" t="n">
        <v>11606.28</v>
      </c>
      <c r="G529" t="inlineStr">
        <is>
          <t>Supplier Payment</t>
        </is>
      </c>
      <c r="H529" t="inlineStr">
        <is>
          <t>Vend_B</t>
        </is>
      </c>
      <c r="I529" t="inlineStr">
        <is>
          <t>2024-10</t>
        </is>
      </c>
    </row>
    <row r="530">
      <c r="A530" t="n">
        <v>529</v>
      </c>
      <c r="B530" s="13" t="n">
        <v>45567</v>
      </c>
      <c r="C530" t="inlineStr">
        <is>
          <t>EUR_Operating</t>
        </is>
      </c>
      <c r="D530" t="inlineStr">
        <is>
          <t>EUR</t>
        </is>
      </c>
      <c r="E530" t="inlineStr">
        <is>
          <t>debit</t>
        </is>
      </c>
      <c r="F530" t="n">
        <v>4620.18</v>
      </c>
      <c r="G530" t="inlineStr">
        <is>
          <t>Supplier Payment</t>
        </is>
      </c>
      <c r="H530" t="inlineStr">
        <is>
          <t>Vend_C</t>
        </is>
      </c>
      <c r="I530" t="inlineStr">
        <is>
          <t>2024-10</t>
        </is>
      </c>
    </row>
    <row r="531">
      <c r="A531" t="n">
        <v>530</v>
      </c>
      <c r="B531" s="13" t="n">
        <v>45569</v>
      </c>
      <c r="C531" t="inlineStr">
        <is>
          <t>EUR_Operating</t>
        </is>
      </c>
      <c r="D531" t="inlineStr">
        <is>
          <t>EUR</t>
        </is>
      </c>
      <c r="E531" t="inlineStr">
        <is>
          <t>debit</t>
        </is>
      </c>
      <c r="F531" t="n">
        <v>10043.05</v>
      </c>
      <c r="G531" t="inlineStr">
        <is>
          <t>Supplier Payment</t>
        </is>
      </c>
      <c r="H531" t="inlineStr">
        <is>
          <t>Vend_B</t>
        </is>
      </c>
      <c r="I531" t="inlineStr">
        <is>
          <t>2024-10</t>
        </is>
      </c>
    </row>
    <row r="532">
      <c r="A532" t="n">
        <v>531</v>
      </c>
      <c r="B532" s="13" t="n">
        <v>45570</v>
      </c>
      <c r="C532" t="inlineStr">
        <is>
          <t>EUR_Operating</t>
        </is>
      </c>
      <c r="D532" t="inlineStr">
        <is>
          <t>EUR</t>
        </is>
      </c>
      <c r="E532" t="inlineStr">
        <is>
          <t>credit</t>
        </is>
      </c>
      <c r="F532" t="n">
        <v>5998.79</v>
      </c>
      <c r="G532" t="inlineStr">
        <is>
          <t>Customer Payment</t>
        </is>
      </c>
      <c r="H532" t="inlineStr">
        <is>
          <t>Cust_D</t>
        </is>
      </c>
      <c r="I532" t="inlineStr">
        <is>
          <t>2024-10</t>
        </is>
      </c>
    </row>
    <row r="533">
      <c r="A533" t="n">
        <v>532</v>
      </c>
      <c r="B533" s="13" t="n">
        <v>45570</v>
      </c>
      <c r="C533" t="inlineStr">
        <is>
          <t>EUR_Operating</t>
        </is>
      </c>
      <c r="D533" t="inlineStr">
        <is>
          <t>EUR</t>
        </is>
      </c>
      <c r="E533" t="inlineStr">
        <is>
          <t>credit</t>
        </is>
      </c>
      <c r="F533" t="n">
        <v>22796.74</v>
      </c>
      <c r="G533" t="inlineStr">
        <is>
          <t>Customer Payment</t>
        </is>
      </c>
      <c r="H533" t="inlineStr">
        <is>
          <t>Cust_A</t>
        </is>
      </c>
      <c r="I533" t="inlineStr">
        <is>
          <t>2024-10</t>
        </is>
      </c>
    </row>
    <row r="534">
      <c r="A534" t="n">
        <v>533</v>
      </c>
      <c r="B534" s="13" t="n">
        <v>45570</v>
      </c>
      <c r="C534" t="inlineStr">
        <is>
          <t>JPY_Sales</t>
        </is>
      </c>
      <c r="D534" t="inlineStr">
        <is>
          <t>JPY</t>
        </is>
      </c>
      <c r="E534" t="inlineStr">
        <is>
          <t>debit</t>
        </is>
      </c>
      <c r="F534" t="n">
        <v>1933.84</v>
      </c>
      <c r="G534" t="inlineStr">
        <is>
          <t>Supplier Payment</t>
        </is>
      </c>
      <c r="H534" t="inlineStr">
        <is>
          <t>Vend_A</t>
        </is>
      </c>
      <c r="I534" t="inlineStr">
        <is>
          <t>2024-10</t>
        </is>
      </c>
    </row>
    <row r="535">
      <c r="A535" t="n">
        <v>534</v>
      </c>
      <c r="B535" s="13" t="n">
        <v>45571</v>
      </c>
      <c r="C535" t="inlineStr">
        <is>
          <t>EUR_Operating</t>
        </is>
      </c>
      <c r="D535" t="inlineStr">
        <is>
          <t>EUR</t>
        </is>
      </c>
      <c r="E535" t="inlineStr">
        <is>
          <t>credit</t>
        </is>
      </c>
      <c r="F535" t="n">
        <v>11006.46</v>
      </c>
      <c r="G535" t="inlineStr">
        <is>
          <t>Customer Payment</t>
        </is>
      </c>
      <c r="H535" t="inlineStr">
        <is>
          <t>Cust_D</t>
        </is>
      </c>
      <c r="I535" t="inlineStr">
        <is>
          <t>2024-10</t>
        </is>
      </c>
    </row>
    <row r="536">
      <c r="A536" t="n">
        <v>535</v>
      </c>
      <c r="B536" s="13" t="n">
        <v>45571</v>
      </c>
      <c r="C536" t="inlineStr">
        <is>
          <t>EUR_Operating</t>
        </is>
      </c>
      <c r="D536" t="inlineStr">
        <is>
          <t>EUR</t>
        </is>
      </c>
      <c r="E536" t="inlineStr">
        <is>
          <t>debit</t>
        </is>
      </c>
      <c r="F536" t="n">
        <v>1367.38</v>
      </c>
      <c r="G536" t="inlineStr">
        <is>
          <t>Supplier Payment</t>
        </is>
      </c>
      <c r="H536" t="inlineStr">
        <is>
          <t>Vend_B</t>
        </is>
      </c>
      <c r="I536" t="inlineStr">
        <is>
          <t>2024-10</t>
        </is>
      </c>
    </row>
    <row r="537">
      <c r="A537" t="n">
        <v>536</v>
      </c>
      <c r="B537" s="13" t="n">
        <v>45571</v>
      </c>
      <c r="C537" t="inlineStr">
        <is>
          <t>EUR_Operating</t>
        </is>
      </c>
      <c r="D537" t="inlineStr">
        <is>
          <t>EUR</t>
        </is>
      </c>
      <c r="E537" t="inlineStr">
        <is>
          <t>debit</t>
        </is>
      </c>
      <c r="F537" t="n">
        <v>5214.86</v>
      </c>
      <c r="G537" t="inlineStr">
        <is>
          <t>Supplier Payment</t>
        </is>
      </c>
      <c r="H537" t="inlineStr">
        <is>
          <t>Vend_A</t>
        </is>
      </c>
      <c r="I537" t="inlineStr">
        <is>
          <t>2024-10</t>
        </is>
      </c>
    </row>
    <row r="538">
      <c r="A538" t="n">
        <v>537</v>
      </c>
      <c r="B538" s="13" t="n">
        <v>45572</v>
      </c>
      <c r="C538" t="inlineStr">
        <is>
          <t>EUR_Operating</t>
        </is>
      </c>
      <c r="D538" t="inlineStr">
        <is>
          <t>EUR</t>
        </is>
      </c>
      <c r="E538" t="inlineStr">
        <is>
          <t>credit</t>
        </is>
      </c>
      <c r="F538" t="n">
        <v>8076.29</v>
      </c>
      <c r="G538" t="inlineStr">
        <is>
          <t>Customer Payment</t>
        </is>
      </c>
      <c r="H538" t="inlineStr">
        <is>
          <t>Cust_D</t>
        </is>
      </c>
      <c r="I538" t="inlineStr">
        <is>
          <t>2024-10</t>
        </is>
      </c>
    </row>
    <row r="539">
      <c r="A539" t="n">
        <v>538</v>
      </c>
      <c r="B539" s="13" t="n">
        <v>45573</v>
      </c>
      <c r="C539" t="inlineStr">
        <is>
          <t>EUR_Operating</t>
        </is>
      </c>
      <c r="D539" t="inlineStr">
        <is>
          <t>EUR</t>
        </is>
      </c>
      <c r="E539" t="inlineStr">
        <is>
          <t>debit</t>
        </is>
      </c>
      <c r="F539" t="n">
        <v>7263.71</v>
      </c>
      <c r="G539" t="inlineStr">
        <is>
          <t>Supplier Payment</t>
        </is>
      </c>
      <c r="H539" t="inlineStr">
        <is>
          <t>Vend_B</t>
        </is>
      </c>
      <c r="I539" t="inlineStr">
        <is>
          <t>2024-10</t>
        </is>
      </c>
    </row>
    <row r="540">
      <c r="A540" t="n">
        <v>539</v>
      </c>
      <c r="B540" s="13" t="n">
        <v>45573</v>
      </c>
      <c r="C540" t="inlineStr">
        <is>
          <t>EUR_Operating</t>
        </is>
      </c>
      <c r="D540" t="inlineStr">
        <is>
          <t>EUR</t>
        </is>
      </c>
      <c r="E540" t="inlineStr">
        <is>
          <t>debit</t>
        </is>
      </c>
      <c r="F540" t="n">
        <v>7518.12</v>
      </c>
      <c r="G540" t="inlineStr">
        <is>
          <t>Supplier Payment</t>
        </is>
      </c>
      <c r="H540" t="inlineStr">
        <is>
          <t>Vend_B</t>
        </is>
      </c>
      <c r="I540" t="inlineStr">
        <is>
          <t>2024-10</t>
        </is>
      </c>
    </row>
    <row r="541">
      <c r="A541" t="n">
        <v>540</v>
      </c>
      <c r="B541" s="13" t="n">
        <v>45574</v>
      </c>
      <c r="C541" t="inlineStr">
        <is>
          <t>EUR_Operating</t>
        </is>
      </c>
      <c r="D541" t="inlineStr">
        <is>
          <t>EUR</t>
        </is>
      </c>
      <c r="E541" t="inlineStr">
        <is>
          <t>credit</t>
        </is>
      </c>
      <c r="F541" t="n">
        <v>5015.97</v>
      </c>
      <c r="G541" t="inlineStr">
        <is>
          <t>Customer Payment</t>
        </is>
      </c>
      <c r="H541" t="inlineStr">
        <is>
          <t>Cust_A</t>
        </is>
      </c>
      <c r="I541" t="inlineStr">
        <is>
          <t>2024-10</t>
        </is>
      </c>
    </row>
    <row r="542">
      <c r="A542" t="n">
        <v>541</v>
      </c>
      <c r="B542" s="13" t="n">
        <v>45575</v>
      </c>
      <c r="C542" t="inlineStr">
        <is>
          <t>EUR_Operating</t>
        </is>
      </c>
      <c r="D542" t="inlineStr">
        <is>
          <t>EUR</t>
        </is>
      </c>
      <c r="E542" t="inlineStr">
        <is>
          <t>credit</t>
        </is>
      </c>
      <c r="F542" t="n">
        <v>12053.78</v>
      </c>
      <c r="G542" t="inlineStr">
        <is>
          <t>Customer Payment</t>
        </is>
      </c>
      <c r="H542" t="inlineStr">
        <is>
          <t>Cust_C</t>
        </is>
      </c>
      <c r="I542" t="inlineStr">
        <is>
          <t>2024-10</t>
        </is>
      </c>
    </row>
    <row r="543">
      <c r="A543" t="n">
        <v>542</v>
      </c>
      <c r="B543" s="13" t="n">
        <v>45575</v>
      </c>
      <c r="C543" t="inlineStr">
        <is>
          <t>EUR_Operating</t>
        </is>
      </c>
      <c r="D543" t="inlineStr">
        <is>
          <t>EUR</t>
        </is>
      </c>
      <c r="E543" t="inlineStr">
        <is>
          <t>debit</t>
        </is>
      </c>
      <c r="F543" t="n">
        <v>46.64</v>
      </c>
      <c r="G543" t="inlineStr">
        <is>
          <t>Bank Fee</t>
        </is>
      </c>
      <c r="H543" t="inlineStr">
        <is>
          <t>Bank</t>
        </is>
      </c>
      <c r="I543" t="inlineStr">
        <is>
          <t>2024-10</t>
        </is>
      </c>
    </row>
    <row r="544">
      <c r="A544" t="n">
        <v>543</v>
      </c>
      <c r="B544" s="13" t="n">
        <v>45576</v>
      </c>
      <c r="C544" t="inlineStr">
        <is>
          <t>EUR_Operating</t>
        </is>
      </c>
      <c r="D544" t="inlineStr">
        <is>
          <t>EUR</t>
        </is>
      </c>
      <c r="E544" t="inlineStr">
        <is>
          <t>debit</t>
        </is>
      </c>
      <c r="F544" t="n">
        <v>2441.62</v>
      </c>
      <c r="G544" t="inlineStr">
        <is>
          <t>Supplier Payment</t>
        </is>
      </c>
      <c r="H544" t="inlineStr">
        <is>
          <t>Vend_C</t>
        </is>
      </c>
      <c r="I544" t="inlineStr">
        <is>
          <t>2024-10</t>
        </is>
      </c>
    </row>
    <row r="545">
      <c r="A545" t="n">
        <v>544</v>
      </c>
      <c r="B545" s="13" t="n">
        <v>45577</v>
      </c>
      <c r="C545" t="inlineStr">
        <is>
          <t>EUR_Operating</t>
        </is>
      </c>
      <c r="D545" t="inlineStr">
        <is>
          <t>EUR</t>
        </is>
      </c>
      <c r="E545" t="inlineStr">
        <is>
          <t>debit</t>
        </is>
      </c>
      <c r="F545" t="n">
        <v>1199.03</v>
      </c>
      <c r="G545" t="inlineStr">
        <is>
          <t>Supplier Payment</t>
        </is>
      </c>
      <c r="H545" t="inlineStr">
        <is>
          <t>Vend_C</t>
        </is>
      </c>
      <c r="I545" t="inlineStr">
        <is>
          <t>2024-10</t>
        </is>
      </c>
    </row>
    <row r="546">
      <c r="A546" t="n">
        <v>545</v>
      </c>
      <c r="B546" s="13" t="n">
        <v>45578</v>
      </c>
      <c r="C546" t="inlineStr">
        <is>
          <t>EUR_Operating</t>
        </is>
      </c>
      <c r="D546" t="inlineStr">
        <is>
          <t>EUR</t>
        </is>
      </c>
      <c r="E546" t="inlineStr">
        <is>
          <t>credit</t>
        </is>
      </c>
      <c r="F546" t="n">
        <v>13464.18</v>
      </c>
      <c r="G546" t="inlineStr">
        <is>
          <t>Customer Payment</t>
        </is>
      </c>
      <c r="H546" t="inlineStr">
        <is>
          <t>Cust_B</t>
        </is>
      </c>
      <c r="I546" t="inlineStr">
        <is>
          <t>2024-10</t>
        </is>
      </c>
    </row>
    <row r="547">
      <c r="A547" t="n">
        <v>546</v>
      </c>
      <c r="B547" s="13" t="n">
        <v>45578</v>
      </c>
      <c r="C547" t="inlineStr">
        <is>
          <t>EUR_Operating</t>
        </is>
      </c>
      <c r="D547" t="inlineStr">
        <is>
          <t>EUR</t>
        </is>
      </c>
      <c r="E547" t="inlineStr">
        <is>
          <t>credit</t>
        </is>
      </c>
      <c r="F547" t="n">
        <v>17666.56</v>
      </c>
      <c r="G547" t="inlineStr">
        <is>
          <t>Customer Payment</t>
        </is>
      </c>
      <c r="H547" t="inlineStr">
        <is>
          <t>Cust_D</t>
        </is>
      </c>
      <c r="I547" t="inlineStr">
        <is>
          <t>2024-10</t>
        </is>
      </c>
    </row>
    <row r="548">
      <c r="A548" t="n">
        <v>547</v>
      </c>
      <c r="B548" s="13" t="n">
        <v>45579</v>
      </c>
      <c r="C548" t="inlineStr">
        <is>
          <t>EUR_Operating</t>
        </is>
      </c>
      <c r="D548" t="inlineStr">
        <is>
          <t>EUR</t>
        </is>
      </c>
      <c r="E548" t="inlineStr">
        <is>
          <t>debit</t>
        </is>
      </c>
      <c r="F548" t="n">
        <v>14345.02</v>
      </c>
      <c r="G548" t="inlineStr">
        <is>
          <t>Supplier Payment</t>
        </is>
      </c>
      <c r="H548" t="inlineStr">
        <is>
          <t>Vend_B</t>
        </is>
      </c>
      <c r="I548" t="inlineStr">
        <is>
          <t>2024-10</t>
        </is>
      </c>
    </row>
    <row r="549">
      <c r="A549" t="n">
        <v>548</v>
      </c>
      <c r="B549" s="13" t="n">
        <v>45580</v>
      </c>
      <c r="C549" t="inlineStr">
        <is>
          <t>EUR_Operating</t>
        </is>
      </c>
      <c r="D549" t="inlineStr">
        <is>
          <t>EUR</t>
        </is>
      </c>
      <c r="E549" t="inlineStr">
        <is>
          <t>credit</t>
        </is>
      </c>
      <c r="F549" t="n">
        <v>4306.36</v>
      </c>
      <c r="G549" t="inlineStr">
        <is>
          <t>Customer Payment</t>
        </is>
      </c>
      <c r="H549" t="inlineStr">
        <is>
          <t>Cust_A</t>
        </is>
      </c>
      <c r="I549" t="inlineStr">
        <is>
          <t>2024-10</t>
        </is>
      </c>
    </row>
    <row r="550">
      <c r="A550" t="n">
        <v>549</v>
      </c>
      <c r="B550" s="13" t="n">
        <v>45580</v>
      </c>
      <c r="C550" t="inlineStr">
        <is>
          <t>EUR_Operating</t>
        </is>
      </c>
      <c r="D550" t="inlineStr">
        <is>
          <t>EUR</t>
        </is>
      </c>
      <c r="E550" t="inlineStr">
        <is>
          <t>debit</t>
        </is>
      </c>
      <c r="F550" t="n">
        <v>7851.07</v>
      </c>
      <c r="G550" t="inlineStr">
        <is>
          <t>Supplier Payment</t>
        </is>
      </c>
      <c r="H550" t="inlineStr">
        <is>
          <t>Vend_C</t>
        </is>
      </c>
      <c r="I550" t="inlineStr">
        <is>
          <t>2024-10</t>
        </is>
      </c>
    </row>
    <row r="551">
      <c r="A551" t="n">
        <v>550</v>
      </c>
      <c r="B551" s="13" t="n">
        <v>45582</v>
      </c>
      <c r="C551" t="inlineStr">
        <is>
          <t>EUR_Operating</t>
        </is>
      </c>
      <c r="D551" t="inlineStr">
        <is>
          <t>EUR</t>
        </is>
      </c>
      <c r="E551" t="inlineStr">
        <is>
          <t>credit</t>
        </is>
      </c>
      <c r="F551" t="n">
        <v>7370.66</v>
      </c>
      <c r="G551" t="inlineStr">
        <is>
          <t>Customer Payment</t>
        </is>
      </c>
      <c r="H551" t="inlineStr">
        <is>
          <t>Cust_C</t>
        </is>
      </c>
      <c r="I551" t="inlineStr">
        <is>
          <t>2024-10</t>
        </is>
      </c>
    </row>
    <row r="552">
      <c r="A552" t="n">
        <v>551</v>
      </c>
      <c r="B552" s="13" t="n">
        <v>45583</v>
      </c>
      <c r="C552" t="inlineStr">
        <is>
          <t>EUR_Operating</t>
        </is>
      </c>
      <c r="D552" t="inlineStr">
        <is>
          <t>EUR</t>
        </is>
      </c>
      <c r="E552" t="inlineStr">
        <is>
          <t>credit</t>
        </is>
      </c>
      <c r="F552" t="n">
        <v>8595.200000000001</v>
      </c>
      <c r="G552" t="inlineStr">
        <is>
          <t>Customer Payment</t>
        </is>
      </c>
      <c r="H552" t="inlineStr">
        <is>
          <t>Cust_C</t>
        </is>
      </c>
      <c r="I552" t="inlineStr">
        <is>
          <t>2024-10</t>
        </is>
      </c>
    </row>
    <row r="553">
      <c r="A553" t="n">
        <v>552</v>
      </c>
      <c r="B553" s="13" t="n">
        <v>45584</v>
      </c>
      <c r="C553" t="inlineStr">
        <is>
          <t>EUR_Operating</t>
        </is>
      </c>
      <c r="D553" t="inlineStr">
        <is>
          <t>EUR</t>
        </is>
      </c>
      <c r="E553" t="inlineStr">
        <is>
          <t>credit</t>
        </is>
      </c>
      <c r="F553" t="n">
        <v>8453.5</v>
      </c>
      <c r="G553" t="inlineStr">
        <is>
          <t>Customer Payment</t>
        </is>
      </c>
      <c r="H553" t="inlineStr">
        <is>
          <t>Cust_C</t>
        </is>
      </c>
      <c r="I553" t="inlineStr">
        <is>
          <t>2024-10</t>
        </is>
      </c>
    </row>
    <row r="554">
      <c r="A554" t="n">
        <v>553</v>
      </c>
      <c r="B554" s="13" t="n">
        <v>45584</v>
      </c>
      <c r="C554" t="inlineStr">
        <is>
          <t>EUR_Operating</t>
        </is>
      </c>
      <c r="D554" t="inlineStr">
        <is>
          <t>EUR</t>
        </is>
      </c>
      <c r="E554" t="inlineStr">
        <is>
          <t>debit</t>
        </is>
      </c>
      <c r="F554" t="n">
        <v>6910.56</v>
      </c>
      <c r="G554" t="inlineStr">
        <is>
          <t>Supplier Payment</t>
        </is>
      </c>
      <c r="H554" t="inlineStr">
        <is>
          <t>Vend_C</t>
        </is>
      </c>
      <c r="I554" t="inlineStr">
        <is>
          <t>2024-10</t>
        </is>
      </c>
    </row>
    <row r="555">
      <c r="A555" t="n">
        <v>554</v>
      </c>
      <c r="B555" s="13" t="n">
        <v>45584</v>
      </c>
      <c r="C555" t="inlineStr">
        <is>
          <t>EUR_Operating</t>
        </is>
      </c>
      <c r="D555" t="inlineStr">
        <is>
          <t>EUR</t>
        </is>
      </c>
      <c r="E555" t="inlineStr">
        <is>
          <t>debit</t>
        </is>
      </c>
      <c r="F555" t="n">
        <v>16985.89</v>
      </c>
      <c r="G555" t="inlineStr">
        <is>
          <t>Supplier Payment</t>
        </is>
      </c>
      <c r="H555" t="inlineStr">
        <is>
          <t>Vend_C</t>
        </is>
      </c>
      <c r="I555" t="inlineStr">
        <is>
          <t>2024-10</t>
        </is>
      </c>
    </row>
    <row r="556">
      <c r="A556" t="n">
        <v>555</v>
      </c>
      <c r="B556" s="13" t="n">
        <v>45585</v>
      </c>
      <c r="C556" t="inlineStr">
        <is>
          <t>EUR_Operating</t>
        </is>
      </c>
      <c r="D556" t="inlineStr">
        <is>
          <t>EUR</t>
        </is>
      </c>
      <c r="E556" t="inlineStr">
        <is>
          <t>credit</t>
        </is>
      </c>
      <c r="F556" t="n">
        <v>8952.190000000001</v>
      </c>
      <c r="G556" t="inlineStr">
        <is>
          <t>Customer Payment</t>
        </is>
      </c>
      <c r="H556" t="inlineStr">
        <is>
          <t>Cust_D</t>
        </is>
      </c>
      <c r="I556" t="inlineStr">
        <is>
          <t>2024-10</t>
        </is>
      </c>
    </row>
    <row r="557">
      <c r="A557" t="n">
        <v>556</v>
      </c>
      <c r="B557" s="13" t="n">
        <v>45585</v>
      </c>
      <c r="C557" t="inlineStr">
        <is>
          <t>EUR_Operating</t>
        </is>
      </c>
      <c r="D557" t="inlineStr">
        <is>
          <t>EUR</t>
        </is>
      </c>
      <c r="E557" t="inlineStr">
        <is>
          <t>credit</t>
        </is>
      </c>
      <c r="F557" t="n">
        <v>21020.54</v>
      </c>
      <c r="G557" t="inlineStr">
        <is>
          <t>Customer Payment</t>
        </is>
      </c>
      <c r="H557" t="inlineStr">
        <is>
          <t>Cust_D</t>
        </is>
      </c>
      <c r="I557" t="inlineStr">
        <is>
          <t>2024-10</t>
        </is>
      </c>
    </row>
    <row r="558">
      <c r="A558" t="n">
        <v>557</v>
      </c>
      <c r="B558" s="13" t="n">
        <v>45585</v>
      </c>
      <c r="C558" t="inlineStr">
        <is>
          <t>EUR_Operating</t>
        </is>
      </c>
      <c r="D558" t="inlineStr">
        <is>
          <t>EUR</t>
        </is>
      </c>
      <c r="E558" t="inlineStr">
        <is>
          <t>credit</t>
        </is>
      </c>
      <c r="F558" t="n">
        <v>5963.72</v>
      </c>
      <c r="G558" t="inlineStr">
        <is>
          <t>Customer Payment</t>
        </is>
      </c>
      <c r="H558" t="inlineStr">
        <is>
          <t>Cust_B</t>
        </is>
      </c>
      <c r="I558" t="inlineStr">
        <is>
          <t>2024-10</t>
        </is>
      </c>
    </row>
    <row r="559">
      <c r="A559" t="n">
        <v>558</v>
      </c>
      <c r="B559" s="13" t="n">
        <v>45585</v>
      </c>
      <c r="C559" t="inlineStr">
        <is>
          <t>EUR_Operating</t>
        </is>
      </c>
      <c r="D559" t="inlineStr">
        <is>
          <t>EUR</t>
        </is>
      </c>
      <c r="E559" t="inlineStr">
        <is>
          <t>debit</t>
        </is>
      </c>
      <c r="F559" t="n">
        <v>5337.49</v>
      </c>
      <c r="G559" t="inlineStr">
        <is>
          <t>Supplier Payment</t>
        </is>
      </c>
      <c r="H559" t="inlineStr">
        <is>
          <t>Vend_C</t>
        </is>
      </c>
      <c r="I559" t="inlineStr">
        <is>
          <t>2024-10</t>
        </is>
      </c>
    </row>
    <row r="560">
      <c r="A560" t="n">
        <v>559</v>
      </c>
      <c r="B560" s="13" t="n">
        <v>45586</v>
      </c>
      <c r="C560" t="inlineStr">
        <is>
          <t>EUR_Operating</t>
        </is>
      </c>
      <c r="D560" t="inlineStr">
        <is>
          <t>EUR</t>
        </is>
      </c>
      <c r="E560" t="inlineStr">
        <is>
          <t>credit</t>
        </is>
      </c>
      <c r="F560" t="n">
        <v>14651.73</v>
      </c>
      <c r="G560" t="inlineStr">
        <is>
          <t>Customer Payment</t>
        </is>
      </c>
      <c r="H560" t="inlineStr">
        <is>
          <t>Cust_C</t>
        </is>
      </c>
      <c r="I560" t="inlineStr">
        <is>
          <t>2024-10</t>
        </is>
      </c>
    </row>
    <row r="561">
      <c r="A561" t="n">
        <v>560</v>
      </c>
      <c r="B561" s="13" t="n">
        <v>45587</v>
      </c>
      <c r="C561" t="inlineStr">
        <is>
          <t>EUR_Operating</t>
        </is>
      </c>
      <c r="D561" t="inlineStr">
        <is>
          <t>EUR</t>
        </is>
      </c>
      <c r="E561" t="inlineStr">
        <is>
          <t>credit</t>
        </is>
      </c>
      <c r="F561" t="n">
        <v>3978.71</v>
      </c>
      <c r="G561" t="inlineStr">
        <is>
          <t>Customer Payment</t>
        </is>
      </c>
      <c r="H561" t="inlineStr">
        <is>
          <t>Cust_A</t>
        </is>
      </c>
      <c r="I561" t="inlineStr">
        <is>
          <t>2024-10</t>
        </is>
      </c>
    </row>
    <row r="562">
      <c r="A562" t="n">
        <v>561</v>
      </c>
      <c r="B562" s="13" t="n">
        <v>45588</v>
      </c>
      <c r="C562" t="inlineStr">
        <is>
          <t>EUR_Operating</t>
        </is>
      </c>
      <c r="D562" t="inlineStr">
        <is>
          <t>EUR</t>
        </is>
      </c>
      <c r="E562" t="inlineStr">
        <is>
          <t>debit</t>
        </is>
      </c>
      <c r="F562" t="n">
        <v>8259.5</v>
      </c>
      <c r="G562" t="inlineStr">
        <is>
          <t>Supplier Payment</t>
        </is>
      </c>
      <c r="H562" t="inlineStr">
        <is>
          <t>Vend_A</t>
        </is>
      </c>
      <c r="I562" t="inlineStr">
        <is>
          <t>2024-10</t>
        </is>
      </c>
    </row>
    <row r="563">
      <c r="A563" t="n">
        <v>562</v>
      </c>
      <c r="B563" s="13" t="n">
        <v>45589</v>
      </c>
      <c r="C563" t="inlineStr">
        <is>
          <t>EUR_Operating</t>
        </is>
      </c>
      <c r="D563" t="inlineStr">
        <is>
          <t>EUR</t>
        </is>
      </c>
      <c r="E563" t="inlineStr">
        <is>
          <t>credit</t>
        </is>
      </c>
      <c r="F563" t="n">
        <v>14938.93</v>
      </c>
      <c r="G563" t="inlineStr">
        <is>
          <t>Customer Payment</t>
        </is>
      </c>
      <c r="H563" t="inlineStr">
        <is>
          <t>Cust_B</t>
        </is>
      </c>
      <c r="I563" t="inlineStr">
        <is>
          <t>2024-10</t>
        </is>
      </c>
    </row>
    <row r="564">
      <c r="A564" t="n">
        <v>563</v>
      </c>
      <c r="B564" s="13" t="n">
        <v>45589</v>
      </c>
      <c r="C564" t="inlineStr">
        <is>
          <t>EUR_Operating</t>
        </is>
      </c>
      <c r="D564" t="inlineStr">
        <is>
          <t>EUR</t>
        </is>
      </c>
      <c r="E564" t="inlineStr">
        <is>
          <t>credit</t>
        </is>
      </c>
      <c r="F564" t="n">
        <v>6581.23</v>
      </c>
      <c r="G564" t="inlineStr">
        <is>
          <t>Customer Payment</t>
        </is>
      </c>
      <c r="H564" t="inlineStr">
        <is>
          <t>Cust_D</t>
        </is>
      </c>
      <c r="I564" t="inlineStr">
        <is>
          <t>2024-10</t>
        </is>
      </c>
    </row>
    <row r="565">
      <c r="A565" t="n">
        <v>564</v>
      </c>
      <c r="B565" s="13" t="n">
        <v>45589</v>
      </c>
      <c r="C565" t="inlineStr">
        <is>
          <t>EUR_Operating</t>
        </is>
      </c>
      <c r="D565" t="inlineStr">
        <is>
          <t>EUR</t>
        </is>
      </c>
      <c r="E565" t="inlineStr">
        <is>
          <t>debit</t>
        </is>
      </c>
      <c r="F565" t="n">
        <v>11906.22</v>
      </c>
      <c r="G565" t="inlineStr">
        <is>
          <t>Supplier Payment</t>
        </is>
      </c>
      <c r="H565" t="inlineStr">
        <is>
          <t>Vend_B</t>
        </is>
      </c>
      <c r="I565" t="inlineStr">
        <is>
          <t>2024-10</t>
        </is>
      </c>
    </row>
    <row r="566">
      <c r="A566" t="n">
        <v>565</v>
      </c>
      <c r="B566" s="13" t="n">
        <v>45590</v>
      </c>
      <c r="C566" t="inlineStr">
        <is>
          <t>EUR_Operating</t>
        </is>
      </c>
      <c r="D566" t="inlineStr">
        <is>
          <t>EUR</t>
        </is>
      </c>
      <c r="E566" t="inlineStr">
        <is>
          <t>credit</t>
        </is>
      </c>
      <c r="F566" t="n">
        <v>7707.33</v>
      </c>
      <c r="G566" t="inlineStr">
        <is>
          <t>Customer Payment</t>
        </is>
      </c>
      <c r="H566" t="inlineStr">
        <is>
          <t>Cust_D</t>
        </is>
      </c>
      <c r="I566" t="inlineStr">
        <is>
          <t>2024-10</t>
        </is>
      </c>
    </row>
    <row r="567">
      <c r="A567" t="n">
        <v>566</v>
      </c>
      <c r="B567" s="13" t="n">
        <v>45590</v>
      </c>
      <c r="C567" t="inlineStr">
        <is>
          <t>JPY_Sales</t>
        </is>
      </c>
      <c r="D567" t="inlineStr">
        <is>
          <t>JPY</t>
        </is>
      </c>
      <c r="E567" t="inlineStr">
        <is>
          <t>credit</t>
        </is>
      </c>
      <c r="F567" t="n">
        <v>391829</v>
      </c>
      <c r="G567" t="inlineStr">
        <is>
          <t>Customer Payment</t>
        </is>
      </c>
      <c r="H567" t="inlineStr">
        <is>
          <t>Cust_D</t>
        </is>
      </c>
      <c r="I567" t="inlineStr">
        <is>
          <t>2024-10</t>
        </is>
      </c>
    </row>
    <row r="568">
      <c r="A568" t="n">
        <v>567</v>
      </c>
      <c r="B568" s="13" t="n">
        <v>45590</v>
      </c>
      <c r="C568" t="inlineStr">
        <is>
          <t>EUR_Operating</t>
        </is>
      </c>
      <c r="D568" t="inlineStr">
        <is>
          <t>EUR</t>
        </is>
      </c>
      <c r="E568" t="inlineStr">
        <is>
          <t>debit</t>
        </is>
      </c>
      <c r="F568" t="n">
        <v>5787.11</v>
      </c>
      <c r="G568" t="inlineStr">
        <is>
          <t>Supplier Payment</t>
        </is>
      </c>
      <c r="H568" t="inlineStr">
        <is>
          <t>Vend_C</t>
        </is>
      </c>
      <c r="I568" t="inlineStr">
        <is>
          <t>2024-10</t>
        </is>
      </c>
    </row>
    <row r="569">
      <c r="A569" t="n">
        <v>568</v>
      </c>
      <c r="B569" s="13" t="n">
        <v>45590</v>
      </c>
      <c r="C569" t="inlineStr">
        <is>
          <t>EUR_Payroll</t>
        </is>
      </c>
      <c r="D569" t="inlineStr">
        <is>
          <t>EUR</t>
        </is>
      </c>
      <c r="E569" t="inlineStr">
        <is>
          <t>debit</t>
        </is>
      </c>
      <c r="F569" t="n">
        <v>119675.47</v>
      </c>
      <c r="G569" t="inlineStr">
        <is>
          <t>Payroll</t>
        </is>
      </c>
      <c r="H569" t="inlineStr">
        <is>
          <t>Payroll</t>
        </is>
      </c>
      <c r="I569" t="inlineStr">
        <is>
          <t>2024-10</t>
        </is>
      </c>
    </row>
    <row r="570">
      <c r="A570" t="n">
        <v>569</v>
      </c>
      <c r="B570" s="13" t="n">
        <v>45590</v>
      </c>
      <c r="C570" t="inlineStr">
        <is>
          <t>EUR_Operating</t>
        </is>
      </c>
      <c r="D570" t="inlineStr">
        <is>
          <t>EUR</t>
        </is>
      </c>
      <c r="E570" t="inlineStr">
        <is>
          <t>debit</t>
        </is>
      </c>
      <c r="F570" t="n">
        <v>119675.47</v>
      </c>
      <c r="G570" t="inlineStr">
        <is>
          <t>Transfer to Payroll</t>
        </is>
      </c>
      <c r="H570" t="inlineStr">
        <is>
          <t>Payroll</t>
        </is>
      </c>
      <c r="I570" t="inlineStr">
        <is>
          <t>2024-10</t>
        </is>
      </c>
    </row>
    <row r="571">
      <c r="A571" t="n">
        <v>570</v>
      </c>
      <c r="B571" s="13" t="n">
        <v>45591</v>
      </c>
      <c r="C571" t="inlineStr">
        <is>
          <t>EUR_Operating</t>
        </is>
      </c>
      <c r="D571" t="inlineStr">
        <is>
          <t>EUR</t>
        </is>
      </c>
      <c r="E571" t="inlineStr">
        <is>
          <t>credit</t>
        </is>
      </c>
      <c r="F571" t="n">
        <v>3397.21</v>
      </c>
      <c r="G571" t="inlineStr">
        <is>
          <t>Customer Payment</t>
        </is>
      </c>
      <c r="H571" t="inlineStr">
        <is>
          <t>Cust_A</t>
        </is>
      </c>
      <c r="I571" t="inlineStr">
        <is>
          <t>2024-10</t>
        </is>
      </c>
    </row>
    <row r="572">
      <c r="A572" t="n">
        <v>571</v>
      </c>
      <c r="B572" s="13" t="n">
        <v>45591</v>
      </c>
      <c r="C572" t="inlineStr">
        <is>
          <t>EUR_Operating</t>
        </is>
      </c>
      <c r="D572" t="inlineStr">
        <is>
          <t>EUR</t>
        </is>
      </c>
      <c r="E572" t="inlineStr">
        <is>
          <t>debit</t>
        </is>
      </c>
      <c r="F572" t="n">
        <v>1169</v>
      </c>
      <c r="G572" t="inlineStr">
        <is>
          <t>Supplier Payment</t>
        </is>
      </c>
      <c r="H572" t="inlineStr">
        <is>
          <t>Vend_A</t>
        </is>
      </c>
      <c r="I572" t="inlineStr">
        <is>
          <t>2024-10</t>
        </is>
      </c>
    </row>
    <row r="573">
      <c r="A573" t="n">
        <v>572</v>
      </c>
      <c r="B573" s="13" t="n">
        <v>45592</v>
      </c>
      <c r="C573" t="inlineStr">
        <is>
          <t>EUR_Operating</t>
        </is>
      </c>
      <c r="D573" t="inlineStr">
        <is>
          <t>EUR</t>
        </is>
      </c>
      <c r="E573" t="inlineStr">
        <is>
          <t>debit</t>
        </is>
      </c>
      <c r="F573" t="n">
        <v>3332.95</v>
      </c>
      <c r="G573" t="inlineStr">
        <is>
          <t>Supplier Payment</t>
        </is>
      </c>
      <c r="H573" t="inlineStr">
        <is>
          <t>Vend_A</t>
        </is>
      </c>
      <c r="I573" t="inlineStr">
        <is>
          <t>2024-10</t>
        </is>
      </c>
    </row>
    <row r="574">
      <c r="A574" t="n">
        <v>573</v>
      </c>
      <c r="B574" s="13" t="n">
        <v>45593</v>
      </c>
      <c r="C574" t="inlineStr">
        <is>
          <t>USD_Sales</t>
        </is>
      </c>
      <c r="D574" t="inlineStr">
        <is>
          <t>USD</t>
        </is>
      </c>
      <c r="E574" t="inlineStr">
        <is>
          <t>debit</t>
        </is>
      </c>
      <c r="F574" t="n">
        <v>8983.700000000001</v>
      </c>
      <c r="G574" t="inlineStr">
        <is>
          <t>Supplier Payment</t>
        </is>
      </c>
      <c r="H574" t="inlineStr">
        <is>
          <t>Vend_C</t>
        </is>
      </c>
      <c r="I574" t="inlineStr">
        <is>
          <t>2024-10</t>
        </is>
      </c>
    </row>
    <row r="575">
      <c r="A575" t="n">
        <v>574</v>
      </c>
      <c r="B575" s="13" t="n">
        <v>45593</v>
      </c>
      <c r="C575" t="inlineStr">
        <is>
          <t>EUR_Operating</t>
        </is>
      </c>
      <c r="D575" t="inlineStr">
        <is>
          <t>EUR</t>
        </is>
      </c>
      <c r="E575" t="inlineStr">
        <is>
          <t>debit</t>
        </is>
      </c>
      <c r="F575" t="n">
        <v>5991.81</v>
      </c>
      <c r="G575" t="inlineStr">
        <is>
          <t>Supplier Payment</t>
        </is>
      </c>
      <c r="H575" t="inlineStr">
        <is>
          <t>Vend_A</t>
        </is>
      </c>
      <c r="I575" t="inlineStr">
        <is>
          <t>2024-10</t>
        </is>
      </c>
    </row>
    <row r="576">
      <c r="A576" t="n">
        <v>575</v>
      </c>
      <c r="B576" s="13" t="n">
        <v>45594</v>
      </c>
      <c r="C576" t="inlineStr">
        <is>
          <t>EUR_Operating</t>
        </is>
      </c>
      <c r="D576" t="inlineStr">
        <is>
          <t>EUR</t>
        </is>
      </c>
      <c r="E576" t="inlineStr">
        <is>
          <t>credit</t>
        </is>
      </c>
      <c r="F576" t="n">
        <v>9132.190000000001</v>
      </c>
      <c r="G576" t="inlineStr">
        <is>
          <t>Customer Payment</t>
        </is>
      </c>
      <c r="H576" t="inlineStr">
        <is>
          <t>Cust_A</t>
        </is>
      </c>
      <c r="I576" t="inlineStr">
        <is>
          <t>2024-10</t>
        </is>
      </c>
    </row>
    <row r="577">
      <c r="A577" t="n">
        <v>576</v>
      </c>
      <c r="B577" s="13" t="n">
        <v>45594</v>
      </c>
      <c r="C577" t="inlineStr">
        <is>
          <t>EUR_Operating</t>
        </is>
      </c>
      <c r="D577" t="inlineStr">
        <is>
          <t>EUR</t>
        </is>
      </c>
      <c r="E577" t="inlineStr">
        <is>
          <t>credit</t>
        </is>
      </c>
      <c r="F577" t="n">
        <v>4352.69</v>
      </c>
      <c r="G577" t="inlineStr">
        <is>
          <t>Customer Payment</t>
        </is>
      </c>
      <c r="H577" t="inlineStr">
        <is>
          <t>Cust_B</t>
        </is>
      </c>
      <c r="I577" t="inlineStr">
        <is>
          <t>2024-10</t>
        </is>
      </c>
    </row>
    <row r="578">
      <c r="A578" t="n">
        <v>577</v>
      </c>
      <c r="B578" s="13" t="n">
        <v>45594</v>
      </c>
      <c r="C578" t="inlineStr">
        <is>
          <t>EUR_Operating</t>
        </is>
      </c>
      <c r="D578" t="inlineStr">
        <is>
          <t>EUR</t>
        </is>
      </c>
      <c r="E578" t="inlineStr">
        <is>
          <t>debit</t>
        </is>
      </c>
      <c r="F578" t="n">
        <v>5149.13</v>
      </c>
      <c r="G578" t="inlineStr">
        <is>
          <t>Supplier Payment</t>
        </is>
      </c>
      <c r="H578" t="inlineStr">
        <is>
          <t>Vend_C</t>
        </is>
      </c>
      <c r="I578" t="inlineStr">
        <is>
          <t>2024-10</t>
        </is>
      </c>
    </row>
    <row r="579">
      <c r="A579" t="n">
        <v>578</v>
      </c>
      <c r="B579" s="13" t="n">
        <v>45596</v>
      </c>
      <c r="C579" t="inlineStr">
        <is>
          <t>EUR_Operating</t>
        </is>
      </c>
      <c r="D579" t="inlineStr">
        <is>
          <t>EUR</t>
        </is>
      </c>
      <c r="E579" t="inlineStr">
        <is>
          <t>credit</t>
        </is>
      </c>
      <c r="F579" t="n">
        <v>1685.26</v>
      </c>
      <c r="G579" t="inlineStr">
        <is>
          <t>Customer Payment</t>
        </is>
      </c>
      <c r="H579" t="inlineStr">
        <is>
          <t>Cust_D</t>
        </is>
      </c>
      <c r="I579" t="inlineStr">
        <is>
          <t>2024-10</t>
        </is>
      </c>
    </row>
    <row r="580">
      <c r="A580" t="n">
        <v>579</v>
      </c>
      <c r="B580" s="13" t="n">
        <v>45596</v>
      </c>
      <c r="C580" t="inlineStr">
        <is>
          <t>EUR_Operating</t>
        </is>
      </c>
      <c r="D580" t="inlineStr">
        <is>
          <t>EUR</t>
        </is>
      </c>
      <c r="E580" t="inlineStr">
        <is>
          <t>credit</t>
        </is>
      </c>
      <c r="F580" t="n">
        <v>13256.94</v>
      </c>
      <c r="G580" t="inlineStr">
        <is>
          <t>Customer Payment</t>
        </is>
      </c>
      <c r="H580" t="inlineStr">
        <is>
          <t>Cust_C</t>
        </is>
      </c>
      <c r="I580" t="inlineStr">
        <is>
          <t>2024-10</t>
        </is>
      </c>
    </row>
    <row r="581">
      <c r="A581" t="n">
        <v>580</v>
      </c>
      <c r="B581" s="13" t="n">
        <v>45596</v>
      </c>
      <c r="C581" t="inlineStr">
        <is>
          <t>EUR_Operating</t>
        </is>
      </c>
      <c r="D581" t="inlineStr">
        <is>
          <t>EUR</t>
        </is>
      </c>
      <c r="E581" t="inlineStr">
        <is>
          <t>debit</t>
        </is>
      </c>
      <c r="F581" t="n">
        <v>5991.81</v>
      </c>
      <c r="G581" t="inlineStr">
        <is>
          <t>Supplier Payment</t>
        </is>
      </c>
      <c r="H581" t="inlineStr">
        <is>
          <t>Vend_A</t>
        </is>
      </c>
      <c r="I581" t="inlineStr">
        <is>
          <t>2024-10</t>
        </is>
      </c>
    </row>
    <row r="582">
      <c r="A582" t="n">
        <v>581</v>
      </c>
      <c r="B582" s="13" t="n">
        <v>45597</v>
      </c>
      <c r="C582" t="inlineStr">
        <is>
          <t>EUR_Operating</t>
        </is>
      </c>
      <c r="D582" t="inlineStr">
        <is>
          <t>EUR</t>
        </is>
      </c>
      <c r="E582" t="inlineStr">
        <is>
          <t>credit</t>
        </is>
      </c>
      <c r="F582" t="n">
        <v>3522.89</v>
      </c>
      <c r="G582" t="inlineStr">
        <is>
          <t>Customer Payment</t>
        </is>
      </c>
      <c r="H582" t="inlineStr">
        <is>
          <t>Cust_D</t>
        </is>
      </c>
      <c r="I582" t="inlineStr">
        <is>
          <t>2024-11</t>
        </is>
      </c>
    </row>
    <row r="583">
      <c r="A583" t="n">
        <v>582</v>
      </c>
      <c r="B583" s="13" t="n">
        <v>45597</v>
      </c>
      <c r="C583" t="inlineStr">
        <is>
          <t>EUR_Operating</t>
        </is>
      </c>
      <c r="D583" t="inlineStr">
        <is>
          <t>EUR</t>
        </is>
      </c>
      <c r="E583" t="inlineStr">
        <is>
          <t>debit</t>
        </is>
      </c>
      <c r="F583" t="n">
        <v>5642.89</v>
      </c>
      <c r="G583" t="inlineStr">
        <is>
          <t>Supplier Payment</t>
        </is>
      </c>
      <c r="H583" t="inlineStr">
        <is>
          <t>Vend_B</t>
        </is>
      </c>
      <c r="I583" t="inlineStr">
        <is>
          <t>2024-11</t>
        </is>
      </c>
    </row>
    <row r="584">
      <c r="A584" t="n">
        <v>583</v>
      </c>
      <c r="B584" s="13" t="n">
        <v>45597</v>
      </c>
      <c r="C584" t="inlineStr">
        <is>
          <t>EUR_Operating</t>
        </is>
      </c>
      <c r="D584" t="inlineStr">
        <is>
          <t>EUR</t>
        </is>
      </c>
      <c r="E584" t="inlineStr">
        <is>
          <t>debit</t>
        </is>
      </c>
      <c r="F584" t="n">
        <v>26585</v>
      </c>
      <c r="G584" t="inlineStr">
        <is>
          <t>Loan Interest</t>
        </is>
      </c>
      <c r="H584" t="inlineStr">
        <is>
          <t>Bank Loan</t>
        </is>
      </c>
      <c r="I584" t="inlineStr">
        <is>
          <t>2024-11</t>
        </is>
      </c>
    </row>
    <row r="585">
      <c r="A585" t="n">
        <v>584</v>
      </c>
      <c r="B585" s="13" t="n">
        <v>45598</v>
      </c>
      <c r="C585" t="inlineStr">
        <is>
          <t>USD_Sales</t>
        </is>
      </c>
      <c r="D585" t="inlineStr">
        <is>
          <t>USD</t>
        </is>
      </c>
      <c r="E585" t="inlineStr">
        <is>
          <t>credit</t>
        </is>
      </c>
      <c r="F585" t="n">
        <v>2850.75</v>
      </c>
      <c r="G585" t="inlineStr">
        <is>
          <t>Customer Payment</t>
        </is>
      </c>
      <c r="H585" t="inlineStr">
        <is>
          <t>Cust_D</t>
        </is>
      </c>
      <c r="I585" t="inlineStr">
        <is>
          <t>2024-11</t>
        </is>
      </c>
    </row>
    <row r="586">
      <c r="A586" t="n">
        <v>585</v>
      </c>
      <c r="B586" s="13" t="n">
        <v>45599</v>
      </c>
      <c r="C586" t="inlineStr">
        <is>
          <t>EUR_Operating</t>
        </is>
      </c>
      <c r="D586" t="inlineStr">
        <is>
          <t>EUR</t>
        </is>
      </c>
      <c r="E586" t="inlineStr">
        <is>
          <t>debit</t>
        </is>
      </c>
      <c r="F586" t="n">
        <v>4625.59</v>
      </c>
      <c r="G586" t="inlineStr">
        <is>
          <t>Supplier Payment</t>
        </is>
      </c>
      <c r="H586" t="inlineStr">
        <is>
          <t>Vend_A</t>
        </is>
      </c>
      <c r="I586" t="inlineStr">
        <is>
          <t>2024-11</t>
        </is>
      </c>
    </row>
    <row r="587">
      <c r="A587" t="n">
        <v>586</v>
      </c>
      <c r="B587" s="13" t="n">
        <v>45599</v>
      </c>
      <c r="C587" t="inlineStr">
        <is>
          <t>EUR_Operating</t>
        </is>
      </c>
      <c r="D587" t="inlineStr">
        <is>
          <t>EUR</t>
        </is>
      </c>
      <c r="E587" t="inlineStr">
        <is>
          <t>debit</t>
        </is>
      </c>
      <c r="F587" t="n">
        <v>4926.07</v>
      </c>
      <c r="G587" t="inlineStr">
        <is>
          <t>Supplier Payment</t>
        </is>
      </c>
      <c r="H587" t="inlineStr">
        <is>
          <t>Vend_A</t>
        </is>
      </c>
      <c r="I587" t="inlineStr">
        <is>
          <t>2024-11</t>
        </is>
      </c>
    </row>
    <row r="588">
      <c r="A588" t="n">
        <v>587</v>
      </c>
      <c r="B588" s="13" t="n">
        <v>45600</v>
      </c>
      <c r="C588" t="inlineStr">
        <is>
          <t>EUR_Operating</t>
        </is>
      </c>
      <c r="D588" t="inlineStr">
        <is>
          <t>EUR</t>
        </is>
      </c>
      <c r="E588" t="inlineStr">
        <is>
          <t>credit</t>
        </is>
      </c>
      <c r="F588" t="n">
        <v>1827.74</v>
      </c>
      <c r="G588" t="inlineStr">
        <is>
          <t>Customer Payment</t>
        </is>
      </c>
      <c r="H588" t="inlineStr">
        <is>
          <t>Cust_B</t>
        </is>
      </c>
      <c r="I588" t="inlineStr">
        <is>
          <t>2024-11</t>
        </is>
      </c>
    </row>
    <row r="589">
      <c r="A589" t="n">
        <v>588</v>
      </c>
      <c r="B589" s="13" t="n">
        <v>45600</v>
      </c>
      <c r="C589" t="inlineStr">
        <is>
          <t>JPY_Sales</t>
        </is>
      </c>
      <c r="D589" t="inlineStr">
        <is>
          <t>JPY</t>
        </is>
      </c>
      <c r="E589" t="inlineStr">
        <is>
          <t>credit</t>
        </is>
      </c>
      <c r="F589" t="n">
        <v>1207930</v>
      </c>
      <c r="G589" t="inlineStr">
        <is>
          <t>Customer Payment</t>
        </is>
      </c>
      <c r="H589" t="inlineStr">
        <is>
          <t>Cust_D</t>
        </is>
      </c>
      <c r="I589" t="inlineStr">
        <is>
          <t>2024-11</t>
        </is>
      </c>
    </row>
    <row r="590">
      <c r="A590" t="n">
        <v>589</v>
      </c>
      <c r="B590" s="13" t="n">
        <v>45601</v>
      </c>
      <c r="C590" t="inlineStr">
        <is>
          <t>EUR_Operating</t>
        </is>
      </c>
      <c r="D590" t="inlineStr">
        <is>
          <t>EUR</t>
        </is>
      </c>
      <c r="E590" t="inlineStr">
        <is>
          <t>debit</t>
        </is>
      </c>
      <c r="F590" t="n">
        <v>1550.87</v>
      </c>
      <c r="G590" t="inlineStr">
        <is>
          <t>Supplier Payment</t>
        </is>
      </c>
      <c r="H590" t="inlineStr">
        <is>
          <t>Vend_C</t>
        </is>
      </c>
      <c r="I590" t="inlineStr">
        <is>
          <t>2024-11</t>
        </is>
      </c>
    </row>
    <row r="591">
      <c r="A591" t="n">
        <v>590</v>
      </c>
      <c r="B591" s="13" t="n">
        <v>45601</v>
      </c>
      <c r="C591" t="inlineStr">
        <is>
          <t>EUR_Operating</t>
        </is>
      </c>
      <c r="D591" t="inlineStr">
        <is>
          <t>EUR</t>
        </is>
      </c>
      <c r="E591" t="inlineStr">
        <is>
          <t>debit</t>
        </is>
      </c>
      <c r="F591" t="n">
        <v>3954.63</v>
      </c>
      <c r="G591" t="inlineStr">
        <is>
          <t>Supplier Payment</t>
        </is>
      </c>
      <c r="H591" t="inlineStr">
        <is>
          <t>Vend_A</t>
        </is>
      </c>
      <c r="I591" t="inlineStr">
        <is>
          <t>2024-11</t>
        </is>
      </c>
    </row>
    <row r="592">
      <c r="A592" t="n">
        <v>591</v>
      </c>
      <c r="B592" s="13" t="n">
        <v>45601</v>
      </c>
      <c r="C592" t="inlineStr">
        <is>
          <t>EUR_Operating</t>
        </is>
      </c>
      <c r="D592" t="inlineStr">
        <is>
          <t>EUR</t>
        </is>
      </c>
      <c r="E592" t="inlineStr">
        <is>
          <t>debit</t>
        </is>
      </c>
      <c r="F592" t="n">
        <v>9893.49</v>
      </c>
      <c r="G592" t="inlineStr">
        <is>
          <t>Supplier Payment</t>
        </is>
      </c>
      <c r="H592" t="inlineStr">
        <is>
          <t>Vend_C</t>
        </is>
      </c>
      <c r="I592" t="inlineStr">
        <is>
          <t>2024-11</t>
        </is>
      </c>
    </row>
    <row r="593">
      <c r="A593" t="n">
        <v>592</v>
      </c>
      <c r="B593" s="13" t="n">
        <v>45603</v>
      </c>
      <c r="C593" t="inlineStr">
        <is>
          <t>EUR_Operating</t>
        </is>
      </c>
      <c r="D593" t="inlineStr">
        <is>
          <t>EUR</t>
        </is>
      </c>
      <c r="E593" t="inlineStr">
        <is>
          <t>credit</t>
        </is>
      </c>
      <c r="F593" t="n">
        <v>20023.06</v>
      </c>
      <c r="G593" t="inlineStr">
        <is>
          <t>Customer Payment</t>
        </is>
      </c>
      <c r="H593" t="inlineStr">
        <is>
          <t>Cust_B</t>
        </is>
      </c>
      <c r="I593" t="inlineStr">
        <is>
          <t>2024-11</t>
        </is>
      </c>
    </row>
    <row r="594">
      <c r="A594" t="n">
        <v>593</v>
      </c>
      <c r="B594" s="13" t="n">
        <v>45603</v>
      </c>
      <c r="C594" t="inlineStr">
        <is>
          <t>EUR_Operating</t>
        </is>
      </c>
      <c r="D594" t="inlineStr">
        <is>
          <t>EUR</t>
        </is>
      </c>
      <c r="E594" t="inlineStr">
        <is>
          <t>debit</t>
        </is>
      </c>
      <c r="F594" t="n">
        <v>7494.84</v>
      </c>
      <c r="G594" t="inlineStr">
        <is>
          <t>Supplier Payment</t>
        </is>
      </c>
      <c r="H594" t="inlineStr">
        <is>
          <t>Vend_C</t>
        </is>
      </c>
      <c r="I594" t="inlineStr">
        <is>
          <t>2024-11</t>
        </is>
      </c>
    </row>
    <row r="595">
      <c r="A595" t="n">
        <v>594</v>
      </c>
      <c r="B595" s="13" t="n">
        <v>45603</v>
      </c>
      <c r="C595" t="inlineStr">
        <is>
          <t>EUR_Operating</t>
        </is>
      </c>
      <c r="D595" t="inlineStr">
        <is>
          <t>EUR</t>
        </is>
      </c>
      <c r="E595" t="inlineStr">
        <is>
          <t>debit</t>
        </is>
      </c>
      <c r="F595" t="n">
        <v>3933.55</v>
      </c>
      <c r="G595" t="inlineStr">
        <is>
          <t>Supplier Payment</t>
        </is>
      </c>
      <c r="H595" t="inlineStr">
        <is>
          <t>Vend_A</t>
        </is>
      </c>
      <c r="I595" t="inlineStr">
        <is>
          <t>2024-11</t>
        </is>
      </c>
    </row>
    <row r="596">
      <c r="A596" t="n">
        <v>595</v>
      </c>
      <c r="B596" s="13" t="n">
        <v>45604</v>
      </c>
      <c r="C596" t="inlineStr">
        <is>
          <t>EUR_Operating</t>
        </is>
      </c>
      <c r="D596" t="inlineStr">
        <is>
          <t>EUR</t>
        </is>
      </c>
      <c r="E596" t="inlineStr">
        <is>
          <t>debit</t>
        </is>
      </c>
      <c r="F596" t="n">
        <v>3594.19</v>
      </c>
      <c r="G596" t="inlineStr">
        <is>
          <t>Supplier Payment</t>
        </is>
      </c>
      <c r="H596" t="inlineStr">
        <is>
          <t>Vend_B</t>
        </is>
      </c>
      <c r="I596" t="inlineStr">
        <is>
          <t>2024-11</t>
        </is>
      </c>
    </row>
    <row r="597">
      <c r="A597" t="n">
        <v>596</v>
      </c>
      <c r="B597" s="13" t="n">
        <v>45605</v>
      </c>
      <c r="C597" t="inlineStr">
        <is>
          <t>EUR_Operating</t>
        </is>
      </c>
      <c r="D597" t="inlineStr">
        <is>
          <t>EUR</t>
        </is>
      </c>
      <c r="E597" t="inlineStr">
        <is>
          <t>credit</t>
        </is>
      </c>
      <c r="F597" t="n">
        <v>3074.76</v>
      </c>
      <c r="G597" t="inlineStr">
        <is>
          <t>Customer Payment</t>
        </is>
      </c>
      <c r="H597" t="inlineStr">
        <is>
          <t>Cust_C</t>
        </is>
      </c>
      <c r="I597" t="inlineStr">
        <is>
          <t>2024-11</t>
        </is>
      </c>
    </row>
    <row r="598">
      <c r="A598" t="n">
        <v>597</v>
      </c>
      <c r="B598" s="13" t="n">
        <v>45605</v>
      </c>
      <c r="C598" t="inlineStr">
        <is>
          <t>EUR_Operating</t>
        </is>
      </c>
      <c r="D598" t="inlineStr">
        <is>
          <t>EUR</t>
        </is>
      </c>
      <c r="E598" t="inlineStr">
        <is>
          <t>credit</t>
        </is>
      </c>
      <c r="F598" t="n">
        <v>24709.62</v>
      </c>
      <c r="G598" t="inlineStr">
        <is>
          <t>Customer Payment</t>
        </is>
      </c>
      <c r="H598" t="inlineStr">
        <is>
          <t>Cust_D</t>
        </is>
      </c>
      <c r="I598" t="inlineStr">
        <is>
          <t>2024-11</t>
        </is>
      </c>
    </row>
    <row r="599">
      <c r="A599" t="n">
        <v>598</v>
      </c>
      <c r="B599" s="13" t="n">
        <v>45606</v>
      </c>
      <c r="C599" t="inlineStr">
        <is>
          <t>EUR_Operating</t>
        </is>
      </c>
      <c r="D599" t="inlineStr">
        <is>
          <t>EUR</t>
        </is>
      </c>
      <c r="E599" t="inlineStr">
        <is>
          <t>credit</t>
        </is>
      </c>
      <c r="F599" t="n">
        <v>3060.17</v>
      </c>
      <c r="G599" t="inlineStr">
        <is>
          <t>Customer Payment</t>
        </is>
      </c>
      <c r="H599" t="inlineStr">
        <is>
          <t>Cust_B</t>
        </is>
      </c>
      <c r="I599" t="inlineStr">
        <is>
          <t>2024-11</t>
        </is>
      </c>
    </row>
    <row r="600">
      <c r="A600" t="n">
        <v>599</v>
      </c>
      <c r="B600" s="13" t="n">
        <v>45606</v>
      </c>
      <c r="C600" t="inlineStr">
        <is>
          <t>EUR_Operating</t>
        </is>
      </c>
      <c r="D600" t="inlineStr">
        <is>
          <t>EUR</t>
        </is>
      </c>
      <c r="E600" t="inlineStr">
        <is>
          <t>credit</t>
        </is>
      </c>
      <c r="F600" t="n">
        <v>1603.43</v>
      </c>
      <c r="G600" t="inlineStr">
        <is>
          <t>Customer Payment</t>
        </is>
      </c>
      <c r="H600" t="inlineStr">
        <is>
          <t>Cust_B</t>
        </is>
      </c>
      <c r="I600" t="inlineStr">
        <is>
          <t>2024-11</t>
        </is>
      </c>
    </row>
    <row r="601">
      <c r="A601" t="n">
        <v>600</v>
      </c>
      <c r="B601" s="13" t="n">
        <v>45606</v>
      </c>
      <c r="C601" t="inlineStr">
        <is>
          <t>EUR_Operating</t>
        </is>
      </c>
      <c r="D601" t="inlineStr">
        <is>
          <t>EUR</t>
        </is>
      </c>
      <c r="E601" t="inlineStr">
        <is>
          <t>credit</t>
        </is>
      </c>
      <c r="F601" t="n">
        <v>19539.6</v>
      </c>
      <c r="G601" t="inlineStr">
        <is>
          <t>Customer Payment</t>
        </is>
      </c>
      <c r="H601" t="inlineStr">
        <is>
          <t>Cust_B</t>
        </is>
      </c>
      <c r="I601" t="inlineStr">
        <is>
          <t>2024-11</t>
        </is>
      </c>
    </row>
    <row r="602">
      <c r="A602" t="n">
        <v>601</v>
      </c>
      <c r="B602" s="13" t="n">
        <v>45606</v>
      </c>
      <c r="C602" t="inlineStr">
        <is>
          <t>EUR_Operating</t>
        </is>
      </c>
      <c r="D602" t="inlineStr">
        <is>
          <t>EUR</t>
        </is>
      </c>
      <c r="E602" t="inlineStr">
        <is>
          <t>debit</t>
        </is>
      </c>
      <c r="F602" t="n">
        <v>17878.3</v>
      </c>
      <c r="G602" t="inlineStr">
        <is>
          <t>Supplier Payment</t>
        </is>
      </c>
      <c r="H602" t="inlineStr">
        <is>
          <t>Vend_B</t>
        </is>
      </c>
      <c r="I602" t="inlineStr">
        <is>
          <t>2024-11</t>
        </is>
      </c>
    </row>
    <row r="603">
      <c r="A603" t="n">
        <v>602</v>
      </c>
      <c r="B603" s="13" t="n">
        <v>45606</v>
      </c>
      <c r="C603" t="inlineStr">
        <is>
          <t>USD_Sales</t>
        </is>
      </c>
      <c r="D603" t="inlineStr">
        <is>
          <t>USD</t>
        </is>
      </c>
      <c r="E603" t="inlineStr">
        <is>
          <t>debit</t>
        </is>
      </c>
      <c r="F603" t="n">
        <v>11189.81</v>
      </c>
      <c r="G603" t="inlineStr">
        <is>
          <t>Supplier Payment</t>
        </is>
      </c>
      <c r="H603" t="inlineStr">
        <is>
          <t>Vend_B</t>
        </is>
      </c>
      <c r="I603" t="inlineStr">
        <is>
          <t>2024-11</t>
        </is>
      </c>
    </row>
    <row r="604">
      <c r="A604" t="n">
        <v>603</v>
      </c>
      <c r="B604" s="13" t="n">
        <v>45606</v>
      </c>
      <c r="C604" t="inlineStr">
        <is>
          <t>EUR_Operating</t>
        </is>
      </c>
      <c r="D604" t="inlineStr">
        <is>
          <t>EUR</t>
        </is>
      </c>
      <c r="E604" t="inlineStr">
        <is>
          <t>debit</t>
        </is>
      </c>
      <c r="F604" t="n">
        <v>122.12</v>
      </c>
      <c r="G604" t="inlineStr">
        <is>
          <t>Bank Fee</t>
        </is>
      </c>
      <c r="H604" t="inlineStr">
        <is>
          <t>Bank</t>
        </is>
      </c>
      <c r="I604" t="inlineStr">
        <is>
          <t>2024-11</t>
        </is>
      </c>
    </row>
    <row r="605">
      <c r="A605" t="n">
        <v>604</v>
      </c>
      <c r="B605" s="13" t="n">
        <v>45607</v>
      </c>
      <c r="C605" t="inlineStr">
        <is>
          <t>EUR_Operating</t>
        </is>
      </c>
      <c r="D605" t="inlineStr">
        <is>
          <t>EUR</t>
        </is>
      </c>
      <c r="E605" t="inlineStr">
        <is>
          <t>credit</t>
        </is>
      </c>
      <c r="F605" t="n">
        <v>9898.85</v>
      </c>
      <c r="G605" t="inlineStr">
        <is>
          <t>Customer Payment</t>
        </is>
      </c>
      <c r="H605" t="inlineStr">
        <is>
          <t>Cust_B</t>
        </is>
      </c>
      <c r="I605" t="inlineStr">
        <is>
          <t>2024-11</t>
        </is>
      </c>
    </row>
    <row r="606">
      <c r="A606" t="n">
        <v>605</v>
      </c>
      <c r="B606" s="13" t="n">
        <v>45608</v>
      </c>
      <c r="C606" t="inlineStr">
        <is>
          <t>EUR_Operating</t>
        </is>
      </c>
      <c r="D606" t="inlineStr">
        <is>
          <t>EUR</t>
        </is>
      </c>
      <c r="E606" t="inlineStr">
        <is>
          <t>debit</t>
        </is>
      </c>
      <c r="F606" t="n">
        <v>6968.44</v>
      </c>
      <c r="G606" t="inlineStr">
        <is>
          <t>Supplier Payment</t>
        </is>
      </c>
      <c r="H606" t="inlineStr">
        <is>
          <t>Vend_C</t>
        </is>
      </c>
      <c r="I606" t="inlineStr">
        <is>
          <t>2024-11</t>
        </is>
      </c>
    </row>
    <row r="607">
      <c r="A607" t="n">
        <v>606</v>
      </c>
      <c r="B607" s="13" t="n">
        <v>45608</v>
      </c>
      <c r="C607" t="inlineStr">
        <is>
          <t>EUR_Operating</t>
        </is>
      </c>
      <c r="D607" t="inlineStr">
        <is>
          <t>EUR</t>
        </is>
      </c>
      <c r="E607" t="inlineStr">
        <is>
          <t>debit</t>
        </is>
      </c>
      <c r="F607" t="n">
        <v>3118.13</v>
      </c>
      <c r="G607" t="inlineStr">
        <is>
          <t>Supplier Payment</t>
        </is>
      </c>
      <c r="H607" t="inlineStr">
        <is>
          <t>Vend_B</t>
        </is>
      </c>
      <c r="I607" t="inlineStr">
        <is>
          <t>2024-11</t>
        </is>
      </c>
    </row>
    <row r="608">
      <c r="A608" t="n">
        <v>607</v>
      </c>
      <c r="B608" s="13" t="n">
        <v>45609</v>
      </c>
      <c r="C608" t="inlineStr">
        <is>
          <t>JPY_Sales</t>
        </is>
      </c>
      <c r="D608" t="inlineStr">
        <is>
          <t>JPY</t>
        </is>
      </c>
      <c r="E608" t="inlineStr">
        <is>
          <t>credit</t>
        </is>
      </c>
      <c r="F608" t="n">
        <v>1172832</v>
      </c>
      <c r="G608" t="inlineStr">
        <is>
          <t>Customer Payment</t>
        </is>
      </c>
      <c r="H608" t="inlineStr">
        <is>
          <t>Cust_B</t>
        </is>
      </c>
      <c r="I608" t="inlineStr">
        <is>
          <t>2024-11</t>
        </is>
      </c>
    </row>
    <row r="609">
      <c r="A609" t="n">
        <v>608</v>
      </c>
      <c r="B609" s="13" t="n">
        <v>45609</v>
      </c>
      <c r="C609" t="inlineStr">
        <is>
          <t>EUR_Operating</t>
        </is>
      </c>
      <c r="D609" t="inlineStr">
        <is>
          <t>EUR</t>
        </is>
      </c>
      <c r="E609" t="inlineStr">
        <is>
          <t>credit</t>
        </is>
      </c>
      <c r="F609" t="n">
        <v>10721.07</v>
      </c>
      <c r="G609" t="inlineStr">
        <is>
          <t>Customer Payment</t>
        </is>
      </c>
      <c r="H609" t="inlineStr">
        <is>
          <t>Cust_A</t>
        </is>
      </c>
      <c r="I609" t="inlineStr">
        <is>
          <t>2024-11</t>
        </is>
      </c>
    </row>
    <row r="610">
      <c r="A610" t="n">
        <v>609</v>
      </c>
      <c r="B610" s="13" t="n">
        <v>45609</v>
      </c>
      <c r="C610" t="inlineStr">
        <is>
          <t>EUR_Operating</t>
        </is>
      </c>
      <c r="D610" t="inlineStr">
        <is>
          <t>EUR</t>
        </is>
      </c>
      <c r="E610" t="inlineStr">
        <is>
          <t>debit</t>
        </is>
      </c>
      <c r="F610" t="n">
        <v>10496.25</v>
      </c>
      <c r="G610" t="inlineStr">
        <is>
          <t>Supplier Payment</t>
        </is>
      </c>
      <c r="H610" t="inlineStr">
        <is>
          <t>Vend_C</t>
        </is>
      </c>
      <c r="I610" t="inlineStr">
        <is>
          <t>2024-11</t>
        </is>
      </c>
    </row>
    <row r="611">
      <c r="A611" t="n">
        <v>610</v>
      </c>
      <c r="B611" s="13" t="n">
        <v>45609</v>
      </c>
      <c r="C611" t="inlineStr">
        <is>
          <t>EUR_Operating</t>
        </is>
      </c>
      <c r="D611" t="inlineStr">
        <is>
          <t>EUR</t>
        </is>
      </c>
      <c r="E611" t="inlineStr">
        <is>
          <t>debit</t>
        </is>
      </c>
      <c r="F611" t="n">
        <v>5938.42</v>
      </c>
      <c r="G611" t="inlineStr">
        <is>
          <t>Supplier Payment</t>
        </is>
      </c>
      <c r="H611" t="inlineStr">
        <is>
          <t>Vend_C</t>
        </is>
      </c>
      <c r="I611" t="inlineStr">
        <is>
          <t>2024-11</t>
        </is>
      </c>
    </row>
    <row r="612">
      <c r="A612" t="n">
        <v>611</v>
      </c>
      <c r="B612" s="13" t="n">
        <v>45609</v>
      </c>
      <c r="C612" t="inlineStr">
        <is>
          <t>EUR_Operating</t>
        </is>
      </c>
      <c r="D612" t="inlineStr">
        <is>
          <t>EUR</t>
        </is>
      </c>
      <c r="E612" t="inlineStr">
        <is>
          <t>debit</t>
        </is>
      </c>
      <c r="F612" t="n">
        <v>3072.02</v>
      </c>
      <c r="G612" t="inlineStr">
        <is>
          <t>Supplier Payment</t>
        </is>
      </c>
      <c r="H612" t="inlineStr">
        <is>
          <t>Vend_A</t>
        </is>
      </c>
      <c r="I612" t="inlineStr">
        <is>
          <t>2024-11</t>
        </is>
      </c>
    </row>
    <row r="613">
      <c r="A613" t="n">
        <v>612</v>
      </c>
      <c r="B613" s="13" t="n">
        <v>45610</v>
      </c>
      <c r="C613" t="inlineStr">
        <is>
          <t>EUR_Operating</t>
        </is>
      </c>
      <c r="D613" t="inlineStr">
        <is>
          <t>EUR</t>
        </is>
      </c>
      <c r="E613" t="inlineStr">
        <is>
          <t>debit</t>
        </is>
      </c>
      <c r="F613" t="n">
        <v>7786.63</v>
      </c>
      <c r="G613" t="inlineStr">
        <is>
          <t>Supplier Payment</t>
        </is>
      </c>
      <c r="H613" t="inlineStr">
        <is>
          <t>Vend_B</t>
        </is>
      </c>
      <c r="I613" t="inlineStr">
        <is>
          <t>2024-11</t>
        </is>
      </c>
    </row>
    <row r="614">
      <c r="A614" t="n">
        <v>613</v>
      </c>
      <c r="B614" s="13" t="n">
        <v>45611</v>
      </c>
      <c r="C614" t="inlineStr">
        <is>
          <t>EUR_Operating</t>
        </is>
      </c>
      <c r="D614" t="inlineStr">
        <is>
          <t>EUR</t>
        </is>
      </c>
      <c r="E614" t="inlineStr">
        <is>
          <t>debit</t>
        </is>
      </c>
      <c r="F614" t="n">
        <v>8259.5</v>
      </c>
      <c r="G614" t="inlineStr">
        <is>
          <t>Supplier Payment</t>
        </is>
      </c>
      <c r="H614" t="inlineStr">
        <is>
          <t>Vend_A</t>
        </is>
      </c>
      <c r="I614" t="inlineStr">
        <is>
          <t>2024-11</t>
        </is>
      </c>
    </row>
    <row r="615">
      <c r="A615" t="n">
        <v>614</v>
      </c>
      <c r="B615" s="13" t="n">
        <v>45613</v>
      </c>
      <c r="C615" t="inlineStr">
        <is>
          <t>JPY_Sales</t>
        </is>
      </c>
      <c r="D615" t="inlineStr">
        <is>
          <t>JPY</t>
        </is>
      </c>
      <c r="E615" t="inlineStr">
        <is>
          <t>credit</t>
        </is>
      </c>
      <c r="F615" t="n">
        <v>1975407</v>
      </c>
      <c r="G615" t="inlineStr">
        <is>
          <t>Customer Payment</t>
        </is>
      </c>
      <c r="H615" t="inlineStr">
        <is>
          <t>Cust_C</t>
        </is>
      </c>
      <c r="I615" t="inlineStr">
        <is>
          <t>2024-11</t>
        </is>
      </c>
    </row>
    <row r="616">
      <c r="A616" t="n">
        <v>615</v>
      </c>
      <c r="B616" s="13" t="n">
        <v>45613</v>
      </c>
      <c r="C616" t="inlineStr">
        <is>
          <t>EUR_Operating</t>
        </is>
      </c>
      <c r="D616" t="inlineStr">
        <is>
          <t>EUR</t>
        </is>
      </c>
      <c r="E616" t="inlineStr">
        <is>
          <t>debit</t>
        </is>
      </c>
      <c r="F616" t="n">
        <v>7539.9</v>
      </c>
      <c r="G616" t="inlineStr">
        <is>
          <t>Supplier Payment</t>
        </is>
      </c>
      <c r="H616" t="inlineStr">
        <is>
          <t>Vend_A</t>
        </is>
      </c>
      <c r="I616" t="inlineStr">
        <is>
          <t>2024-11</t>
        </is>
      </c>
    </row>
    <row r="617">
      <c r="A617" t="n">
        <v>616</v>
      </c>
      <c r="B617" s="13" t="n">
        <v>45613</v>
      </c>
      <c r="C617" t="inlineStr">
        <is>
          <t>EUR_Operating</t>
        </is>
      </c>
      <c r="D617" t="inlineStr">
        <is>
          <t>EUR</t>
        </is>
      </c>
      <c r="E617" t="inlineStr">
        <is>
          <t>debit</t>
        </is>
      </c>
      <c r="F617" t="n">
        <v>1583.41</v>
      </c>
      <c r="G617" t="inlineStr">
        <is>
          <t>Supplier Payment</t>
        </is>
      </c>
      <c r="H617" t="inlineStr">
        <is>
          <t>Vend_C</t>
        </is>
      </c>
      <c r="I617" t="inlineStr">
        <is>
          <t>2024-11</t>
        </is>
      </c>
    </row>
    <row r="618">
      <c r="A618" t="n">
        <v>617</v>
      </c>
      <c r="B618" s="13" t="n">
        <v>45613</v>
      </c>
      <c r="C618" t="inlineStr">
        <is>
          <t>EUR_Operating</t>
        </is>
      </c>
      <c r="D618" t="inlineStr">
        <is>
          <t>EUR</t>
        </is>
      </c>
      <c r="E618" t="inlineStr">
        <is>
          <t>debit</t>
        </is>
      </c>
      <c r="F618" t="n">
        <v>9901.209999999999</v>
      </c>
      <c r="G618" t="inlineStr">
        <is>
          <t>Supplier Payment</t>
        </is>
      </c>
      <c r="H618" t="inlineStr">
        <is>
          <t>Vend_B</t>
        </is>
      </c>
      <c r="I618" t="inlineStr">
        <is>
          <t>2024-11</t>
        </is>
      </c>
    </row>
    <row r="619">
      <c r="A619" t="n">
        <v>618</v>
      </c>
      <c r="B619" s="13" t="n">
        <v>45613</v>
      </c>
      <c r="C619" t="inlineStr">
        <is>
          <t>EUR_Operating</t>
        </is>
      </c>
      <c r="D619" t="inlineStr">
        <is>
          <t>EUR</t>
        </is>
      </c>
      <c r="E619" t="inlineStr">
        <is>
          <t>debit</t>
        </is>
      </c>
      <c r="F619" t="n">
        <v>7385.19</v>
      </c>
      <c r="G619" t="inlineStr">
        <is>
          <t>Supplier Payment</t>
        </is>
      </c>
      <c r="H619" t="inlineStr">
        <is>
          <t>Vend_C</t>
        </is>
      </c>
      <c r="I619" t="inlineStr">
        <is>
          <t>2024-11</t>
        </is>
      </c>
    </row>
    <row r="620">
      <c r="A620" t="n">
        <v>619</v>
      </c>
      <c r="B620" s="13" t="n">
        <v>45614</v>
      </c>
      <c r="C620" t="inlineStr">
        <is>
          <t>EUR_Operating</t>
        </is>
      </c>
      <c r="D620" t="inlineStr">
        <is>
          <t>EUR</t>
        </is>
      </c>
      <c r="E620" t="inlineStr">
        <is>
          <t>debit</t>
        </is>
      </c>
      <c r="F620" t="n">
        <v>7557.18</v>
      </c>
      <c r="G620" t="inlineStr">
        <is>
          <t>Supplier Payment</t>
        </is>
      </c>
      <c r="H620" t="inlineStr">
        <is>
          <t>Vend_B</t>
        </is>
      </c>
      <c r="I620" t="inlineStr">
        <is>
          <t>2024-11</t>
        </is>
      </c>
    </row>
    <row r="621">
      <c r="A621" t="n">
        <v>620</v>
      </c>
      <c r="B621" s="13" t="n">
        <v>45615</v>
      </c>
      <c r="C621" t="inlineStr">
        <is>
          <t>EUR_Operating</t>
        </is>
      </c>
      <c r="D621" t="inlineStr">
        <is>
          <t>EUR</t>
        </is>
      </c>
      <c r="E621" t="inlineStr">
        <is>
          <t>credit</t>
        </is>
      </c>
      <c r="F621" t="n">
        <v>10079.9</v>
      </c>
      <c r="G621" t="inlineStr">
        <is>
          <t>Customer Payment</t>
        </is>
      </c>
      <c r="H621" t="inlineStr">
        <is>
          <t>Cust_C</t>
        </is>
      </c>
      <c r="I621" t="inlineStr">
        <is>
          <t>2024-11</t>
        </is>
      </c>
    </row>
    <row r="622">
      <c r="A622" t="n">
        <v>621</v>
      </c>
      <c r="B622" s="13" t="n">
        <v>45617</v>
      </c>
      <c r="C622" t="inlineStr">
        <is>
          <t>EUR_Operating</t>
        </is>
      </c>
      <c r="D622" t="inlineStr">
        <is>
          <t>EUR</t>
        </is>
      </c>
      <c r="E622" t="inlineStr">
        <is>
          <t>debit</t>
        </is>
      </c>
      <c r="F622" t="n">
        <v>3378.38</v>
      </c>
      <c r="G622" t="inlineStr">
        <is>
          <t>Supplier Payment</t>
        </is>
      </c>
      <c r="H622" t="inlineStr">
        <is>
          <t>Vend_C</t>
        </is>
      </c>
      <c r="I622" t="inlineStr">
        <is>
          <t>2024-11</t>
        </is>
      </c>
    </row>
    <row r="623">
      <c r="A623" t="n">
        <v>622</v>
      </c>
      <c r="B623" s="13" t="n">
        <v>45618</v>
      </c>
      <c r="C623" t="inlineStr">
        <is>
          <t>EUR_Operating</t>
        </is>
      </c>
      <c r="D623" t="inlineStr">
        <is>
          <t>EUR</t>
        </is>
      </c>
      <c r="E623" t="inlineStr">
        <is>
          <t>credit</t>
        </is>
      </c>
      <c r="F623" t="n">
        <v>4691.37</v>
      </c>
      <c r="G623" t="inlineStr">
        <is>
          <t>Customer Payment</t>
        </is>
      </c>
      <c r="H623" t="inlineStr">
        <is>
          <t>Cust_C</t>
        </is>
      </c>
      <c r="I623" t="inlineStr">
        <is>
          <t>2024-11</t>
        </is>
      </c>
    </row>
    <row r="624">
      <c r="A624" t="n">
        <v>623</v>
      </c>
      <c r="B624" s="13" t="n">
        <v>45618</v>
      </c>
      <c r="C624" t="inlineStr">
        <is>
          <t>EUR_Operating</t>
        </is>
      </c>
      <c r="D624" t="inlineStr">
        <is>
          <t>EUR</t>
        </is>
      </c>
      <c r="E624" t="inlineStr">
        <is>
          <t>debit</t>
        </is>
      </c>
      <c r="F624" t="n">
        <v>13417.44</v>
      </c>
      <c r="G624" t="inlineStr">
        <is>
          <t>Supplier Payment</t>
        </is>
      </c>
      <c r="H624" t="inlineStr">
        <is>
          <t>Vend_B</t>
        </is>
      </c>
      <c r="I624" t="inlineStr">
        <is>
          <t>2024-11</t>
        </is>
      </c>
    </row>
    <row r="625">
      <c r="A625" t="n">
        <v>624</v>
      </c>
      <c r="B625" s="13" t="n">
        <v>45619</v>
      </c>
      <c r="C625" t="inlineStr">
        <is>
          <t>EUR_Operating</t>
        </is>
      </c>
      <c r="D625" t="inlineStr">
        <is>
          <t>EUR</t>
        </is>
      </c>
      <c r="E625" t="inlineStr">
        <is>
          <t>credit</t>
        </is>
      </c>
      <c r="F625" t="n">
        <v>4233.1</v>
      </c>
      <c r="G625" t="inlineStr">
        <is>
          <t>Customer Payment</t>
        </is>
      </c>
      <c r="H625" t="inlineStr">
        <is>
          <t>Cust_C</t>
        </is>
      </c>
      <c r="I625" t="inlineStr">
        <is>
          <t>2024-11</t>
        </is>
      </c>
    </row>
    <row r="626">
      <c r="A626" t="n">
        <v>625</v>
      </c>
      <c r="B626" s="13" t="n">
        <v>45619</v>
      </c>
      <c r="C626" t="inlineStr">
        <is>
          <t>EUR_Operating</t>
        </is>
      </c>
      <c r="D626" t="inlineStr">
        <is>
          <t>EUR</t>
        </is>
      </c>
      <c r="E626" t="inlineStr">
        <is>
          <t>credit</t>
        </is>
      </c>
      <c r="F626" t="n">
        <v>7180.91</v>
      </c>
      <c r="G626" t="inlineStr">
        <is>
          <t>Customer Payment</t>
        </is>
      </c>
      <c r="H626" t="inlineStr">
        <is>
          <t>Cust_B</t>
        </is>
      </c>
      <c r="I626" t="inlineStr">
        <is>
          <t>2024-11</t>
        </is>
      </c>
    </row>
    <row r="627">
      <c r="A627" t="n">
        <v>626</v>
      </c>
      <c r="B627" s="13" t="n">
        <v>45619</v>
      </c>
      <c r="C627" t="inlineStr">
        <is>
          <t>EUR_Operating</t>
        </is>
      </c>
      <c r="D627" t="inlineStr">
        <is>
          <t>EUR</t>
        </is>
      </c>
      <c r="E627" t="inlineStr">
        <is>
          <t>credit</t>
        </is>
      </c>
      <c r="F627" t="n">
        <v>13545.99</v>
      </c>
      <c r="G627" t="inlineStr">
        <is>
          <t>Customer Payment</t>
        </is>
      </c>
      <c r="H627" t="inlineStr">
        <is>
          <t>Cust_C</t>
        </is>
      </c>
      <c r="I627" t="inlineStr">
        <is>
          <t>2024-11</t>
        </is>
      </c>
    </row>
    <row r="628">
      <c r="A628" t="n">
        <v>627</v>
      </c>
      <c r="B628" s="13" t="n">
        <v>45619</v>
      </c>
      <c r="C628" t="inlineStr">
        <is>
          <t>EUR_Operating</t>
        </is>
      </c>
      <c r="D628" t="inlineStr">
        <is>
          <t>EUR</t>
        </is>
      </c>
      <c r="E628" t="inlineStr">
        <is>
          <t>debit</t>
        </is>
      </c>
      <c r="F628" t="n">
        <v>9927.690000000001</v>
      </c>
      <c r="G628" t="inlineStr">
        <is>
          <t>Supplier Payment</t>
        </is>
      </c>
      <c r="H628" t="inlineStr">
        <is>
          <t>Vend_B</t>
        </is>
      </c>
      <c r="I628" t="inlineStr">
        <is>
          <t>2024-11</t>
        </is>
      </c>
    </row>
    <row r="629">
      <c r="A629" t="n">
        <v>628</v>
      </c>
      <c r="B629" s="13" t="n">
        <v>45619</v>
      </c>
      <c r="C629" t="inlineStr">
        <is>
          <t>EUR_Operating</t>
        </is>
      </c>
      <c r="D629" t="inlineStr">
        <is>
          <t>EUR</t>
        </is>
      </c>
      <c r="E629" t="inlineStr">
        <is>
          <t>debit</t>
        </is>
      </c>
      <c r="F629" t="n">
        <v>1289.31</v>
      </c>
      <c r="G629" t="inlineStr">
        <is>
          <t>Supplier Payment</t>
        </is>
      </c>
      <c r="H629" t="inlineStr">
        <is>
          <t>Vend_A</t>
        </is>
      </c>
      <c r="I629" t="inlineStr">
        <is>
          <t>2024-11</t>
        </is>
      </c>
    </row>
    <row r="630">
      <c r="A630" t="n">
        <v>629</v>
      </c>
      <c r="B630" s="13" t="n">
        <v>45620</v>
      </c>
      <c r="C630" t="inlineStr">
        <is>
          <t>EUR_Operating</t>
        </is>
      </c>
      <c r="D630" t="inlineStr">
        <is>
          <t>EUR</t>
        </is>
      </c>
      <c r="E630" t="inlineStr">
        <is>
          <t>debit</t>
        </is>
      </c>
      <c r="F630" t="n">
        <v>4350.16</v>
      </c>
      <c r="G630" t="inlineStr">
        <is>
          <t>Supplier Payment</t>
        </is>
      </c>
      <c r="H630" t="inlineStr">
        <is>
          <t>Vend_C</t>
        </is>
      </c>
      <c r="I630" t="inlineStr">
        <is>
          <t>2024-11</t>
        </is>
      </c>
    </row>
    <row r="631">
      <c r="A631" t="n">
        <v>630</v>
      </c>
      <c r="B631" s="13" t="n">
        <v>45621</v>
      </c>
      <c r="C631" t="inlineStr">
        <is>
          <t>EUR_Operating</t>
        </is>
      </c>
      <c r="D631" t="inlineStr">
        <is>
          <t>EUR</t>
        </is>
      </c>
      <c r="E631" t="inlineStr">
        <is>
          <t>debit</t>
        </is>
      </c>
      <c r="F631" t="n">
        <v>502.62</v>
      </c>
      <c r="G631" t="inlineStr">
        <is>
          <t>Supplier Payment</t>
        </is>
      </c>
      <c r="H631" t="inlineStr">
        <is>
          <t>Vend_A</t>
        </is>
      </c>
      <c r="I631" t="inlineStr">
        <is>
          <t>2024-11</t>
        </is>
      </c>
    </row>
    <row r="632">
      <c r="A632" t="n">
        <v>631</v>
      </c>
      <c r="B632" s="13" t="n">
        <v>45621</v>
      </c>
      <c r="C632" t="inlineStr">
        <is>
          <t>EUR_Operating</t>
        </is>
      </c>
      <c r="D632" t="inlineStr">
        <is>
          <t>EUR</t>
        </is>
      </c>
      <c r="E632" t="inlineStr">
        <is>
          <t>debit</t>
        </is>
      </c>
      <c r="F632" t="n">
        <v>6968.44</v>
      </c>
      <c r="G632" t="inlineStr">
        <is>
          <t>Supplier Payment</t>
        </is>
      </c>
      <c r="H632" t="inlineStr">
        <is>
          <t>Vend_C</t>
        </is>
      </c>
      <c r="I632" t="inlineStr">
        <is>
          <t>2024-11</t>
        </is>
      </c>
    </row>
    <row r="633">
      <c r="A633" t="n">
        <v>632</v>
      </c>
      <c r="B633" s="13" t="n">
        <v>45621</v>
      </c>
      <c r="C633" t="inlineStr">
        <is>
          <t>EUR_Payroll</t>
        </is>
      </c>
      <c r="D633" t="inlineStr">
        <is>
          <t>EUR</t>
        </is>
      </c>
      <c r="E633" t="inlineStr">
        <is>
          <t>debit</t>
        </is>
      </c>
      <c r="F633" t="n">
        <v>125072.8</v>
      </c>
      <c r="G633" t="inlineStr">
        <is>
          <t>Payroll</t>
        </is>
      </c>
      <c r="H633" t="inlineStr">
        <is>
          <t>Payroll</t>
        </is>
      </c>
      <c r="I633" t="inlineStr">
        <is>
          <t>2024-11</t>
        </is>
      </c>
    </row>
    <row r="634">
      <c r="A634" t="n">
        <v>633</v>
      </c>
      <c r="B634" s="13" t="n">
        <v>45621</v>
      </c>
      <c r="C634" t="inlineStr">
        <is>
          <t>EUR_Operating</t>
        </is>
      </c>
      <c r="D634" t="inlineStr">
        <is>
          <t>EUR</t>
        </is>
      </c>
      <c r="E634" t="inlineStr">
        <is>
          <t>debit</t>
        </is>
      </c>
      <c r="F634" t="n">
        <v>125072.8</v>
      </c>
      <c r="G634" t="inlineStr">
        <is>
          <t>Transfer to Payroll</t>
        </is>
      </c>
      <c r="H634" t="inlineStr">
        <is>
          <t>Payroll</t>
        </is>
      </c>
      <c r="I634" t="inlineStr">
        <is>
          <t>2024-11</t>
        </is>
      </c>
    </row>
    <row r="635">
      <c r="A635" t="n">
        <v>634</v>
      </c>
      <c r="B635" s="13" t="n">
        <v>45622</v>
      </c>
      <c r="C635" t="inlineStr">
        <is>
          <t>EUR_Operating</t>
        </is>
      </c>
      <c r="D635" t="inlineStr">
        <is>
          <t>EUR</t>
        </is>
      </c>
      <c r="E635" t="inlineStr">
        <is>
          <t>credit</t>
        </is>
      </c>
      <c r="F635" t="n">
        <v>10917.86</v>
      </c>
      <c r="G635" t="inlineStr">
        <is>
          <t>Customer Payment</t>
        </is>
      </c>
      <c r="H635" t="inlineStr">
        <is>
          <t>Cust_A</t>
        </is>
      </c>
      <c r="I635" t="inlineStr">
        <is>
          <t>2024-11</t>
        </is>
      </c>
    </row>
    <row r="636">
      <c r="A636" t="n">
        <v>635</v>
      </c>
      <c r="B636" s="13" t="n">
        <v>45622</v>
      </c>
      <c r="C636" t="inlineStr">
        <is>
          <t>EUR_Operating</t>
        </is>
      </c>
      <c r="D636" t="inlineStr">
        <is>
          <t>EUR</t>
        </is>
      </c>
      <c r="E636" t="inlineStr">
        <is>
          <t>debit</t>
        </is>
      </c>
      <c r="F636" t="n">
        <v>1199.03</v>
      </c>
      <c r="G636" t="inlineStr">
        <is>
          <t>Supplier Payment</t>
        </is>
      </c>
      <c r="H636" t="inlineStr">
        <is>
          <t>Vend_C</t>
        </is>
      </c>
      <c r="I636" t="inlineStr">
        <is>
          <t>2024-11</t>
        </is>
      </c>
    </row>
    <row r="637">
      <c r="A637" t="n">
        <v>636</v>
      </c>
      <c r="B637" s="13" t="n">
        <v>45622</v>
      </c>
      <c r="C637" t="inlineStr">
        <is>
          <t>EUR_Operating</t>
        </is>
      </c>
      <c r="D637" t="inlineStr">
        <is>
          <t>EUR</t>
        </is>
      </c>
      <c r="E637" t="inlineStr">
        <is>
          <t>debit</t>
        </is>
      </c>
      <c r="F637" t="n">
        <v>10339.84</v>
      </c>
      <c r="G637" t="inlineStr">
        <is>
          <t>Supplier Payment</t>
        </is>
      </c>
      <c r="H637" t="inlineStr">
        <is>
          <t>Vend_A</t>
        </is>
      </c>
      <c r="I637" t="inlineStr">
        <is>
          <t>2024-11</t>
        </is>
      </c>
    </row>
    <row r="638">
      <c r="A638" t="n">
        <v>637</v>
      </c>
      <c r="B638" s="13" t="n">
        <v>45622</v>
      </c>
      <c r="C638" t="inlineStr">
        <is>
          <t>EUR_Operating</t>
        </is>
      </c>
      <c r="D638" t="inlineStr">
        <is>
          <t>EUR</t>
        </is>
      </c>
      <c r="E638" t="inlineStr">
        <is>
          <t>debit</t>
        </is>
      </c>
      <c r="F638" t="n">
        <v>5856.83</v>
      </c>
      <c r="G638" t="inlineStr">
        <is>
          <t>Supplier Payment</t>
        </is>
      </c>
      <c r="H638" t="inlineStr">
        <is>
          <t>Vend_B</t>
        </is>
      </c>
      <c r="I638" t="inlineStr">
        <is>
          <t>2024-11</t>
        </is>
      </c>
    </row>
    <row r="639">
      <c r="A639" t="n">
        <v>638</v>
      </c>
      <c r="B639" s="13" t="n">
        <v>45625</v>
      </c>
      <c r="C639" t="inlineStr">
        <is>
          <t>EUR_Operating</t>
        </is>
      </c>
      <c r="D639" t="inlineStr">
        <is>
          <t>EUR</t>
        </is>
      </c>
      <c r="E639" t="inlineStr">
        <is>
          <t>debit</t>
        </is>
      </c>
      <c r="F639" t="n">
        <v>1886.78</v>
      </c>
      <c r="G639" t="inlineStr">
        <is>
          <t>Supplier Payment</t>
        </is>
      </c>
      <c r="H639" t="inlineStr">
        <is>
          <t>Vend_B</t>
        </is>
      </c>
      <c r="I639" t="inlineStr">
        <is>
          <t>2024-11</t>
        </is>
      </c>
    </row>
    <row r="640">
      <c r="A640" t="n">
        <v>639</v>
      </c>
      <c r="B640" s="13" t="n">
        <v>45625</v>
      </c>
      <c r="C640" t="inlineStr">
        <is>
          <t>EUR_Operating</t>
        </is>
      </c>
      <c r="D640" t="inlineStr">
        <is>
          <t>EUR</t>
        </is>
      </c>
      <c r="E640" t="inlineStr">
        <is>
          <t>debit</t>
        </is>
      </c>
      <c r="F640" t="n">
        <v>5665.33</v>
      </c>
      <c r="G640" t="inlineStr">
        <is>
          <t>Supplier Payment</t>
        </is>
      </c>
      <c r="H640" t="inlineStr">
        <is>
          <t>Vend_C</t>
        </is>
      </c>
      <c r="I640" t="inlineStr">
        <is>
          <t>2024-11</t>
        </is>
      </c>
    </row>
    <row r="641">
      <c r="A641" t="n">
        <v>640</v>
      </c>
      <c r="B641" s="13" t="n">
        <v>45625</v>
      </c>
      <c r="C641" t="inlineStr">
        <is>
          <t>EUR_Operating</t>
        </is>
      </c>
      <c r="D641" t="inlineStr">
        <is>
          <t>EUR</t>
        </is>
      </c>
      <c r="E641" t="inlineStr">
        <is>
          <t>debit</t>
        </is>
      </c>
      <c r="F641" t="n">
        <v>5069.19</v>
      </c>
      <c r="G641" t="inlineStr">
        <is>
          <t>Supplier Payment</t>
        </is>
      </c>
      <c r="H641" t="inlineStr">
        <is>
          <t>Vend_C</t>
        </is>
      </c>
      <c r="I641" t="inlineStr">
        <is>
          <t>2024-11</t>
        </is>
      </c>
    </row>
    <row r="642">
      <c r="A642" t="n">
        <v>641</v>
      </c>
      <c r="B642" s="13" t="n">
        <v>45626</v>
      </c>
      <c r="C642" t="inlineStr">
        <is>
          <t>EUR_Operating</t>
        </is>
      </c>
      <c r="D642" t="inlineStr">
        <is>
          <t>EUR</t>
        </is>
      </c>
      <c r="E642" t="inlineStr">
        <is>
          <t>credit</t>
        </is>
      </c>
      <c r="F642" t="n">
        <v>9997.32</v>
      </c>
      <c r="G642" t="inlineStr">
        <is>
          <t>Customer Payment</t>
        </is>
      </c>
      <c r="H642" t="inlineStr">
        <is>
          <t>Cust_D</t>
        </is>
      </c>
      <c r="I642" t="inlineStr">
        <is>
          <t>2024-11</t>
        </is>
      </c>
    </row>
    <row r="643">
      <c r="A643" t="n">
        <v>642</v>
      </c>
      <c r="B643" s="13" t="n">
        <v>45626</v>
      </c>
      <c r="C643" t="inlineStr">
        <is>
          <t>EUR_Operating</t>
        </is>
      </c>
      <c r="D643" t="inlineStr">
        <is>
          <t>EUR</t>
        </is>
      </c>
      <c r="E643" t="inlineStr">
        <is>
          <t>credit</t>
        </is>
      </c>
      <c r="F643" t="n">
        <v>11082.09</v>
      </c>
      <c r="G643" t="inlineStr">
        <is>
          <t>Customer Payment</t>
        </is>
      </c>
      <c r="H643" t="inlineStr">
        <is>
          <t>Cust_B</t>
        </is>
      </c>
      <c r="I643" t="inlineStr">
        <is>
          <t>2024-11</t>
        </is>
      </c>
    </row>
    <row r="644">
      <c r="A644" t="n">
        <v>643</v>
      </c>
      <c r="B644" s="13" t="n">
        <v>45626</v>
      </c>
      <c r="C644" t="inlineStr">
        <is>
          <t>EUR_Operating</t>
        </is>
      </c>
      <c r="D644" t="inlineStr">
        <is>
          <t>EUR</t>
        </is>
      </c>
      <c r="E644" t="inlineStr">
        <is>
          <t>credit</t>
        </is>
      </c>
      <c r="F644" t="n">
        <v>6532.85</v>
      </c>
      <c r="G644" t="inlineStr">
        <is>
          <t>Customer Payment</t>
        </is>
      </c>
      <c r="H644" t="inlineStr">
        <is>
          <t>Cust_B</t>
        </is>
      </c>
      <c r="I644" t="inlineStr">
        <is>
          <t>2024-11</t>
        </is>
      </c>
    </row>
    <row r="645">
      <c r="A645" t="n">
        <v>644</v>
      </c>
      <c r="B645" s="13" t="n">
        <v>45626</v>
      </c>
      <c r="C645" t="inlineStr">
        <is>
          <t>EUR_Operating</t>
        </is>
      </c>
      <c r="D645" t="inlineStr">
        <is>
          <t>EUR</t>
        </is>
      </c>
      <c r="E645" t="inlineStr">
        <is>
          <t>debit</t>
        </is>
      </c>
      <c r="F645" t="n">
        <v>3312.98</v>
      </c>
      <c r="G645" t="inlineStr">
        <is>
          <t>Supplier Payment</t>
        </is>
      </c>
      <c r="H645" t="inlineStr">
        <is>
          <t>Vend_B</t>
        </is>
      </c>
      <c r="I645" t="inlineStr">
        <is>
          <t>2024-11</t>
        </is>
      </c>
    </row>
    <row r="646">
      <c r="A646" t="n">
        <v>645</v>
      </c>
      <c r="B646" s="13" t="n">
        <v>45627</v>
      </c>
      <c r="C646" t="inlineStr">
        <is>
          <t>EUR_Operating</t>
        </is>
      </c>
      <c r="D646" t="inlineStr">
        <is>
          <t>EUR</t>
        </is>
      </c>
      <c r="E646" t="inlineStr">
        <is>
          <t>credit</t>
        </is>
      </c>
      <c r="F646" t="n">
        <v>10213.07</v>
      </c>
      <c r="G646" t="inlineStr">
        <is>
          <t>Customer Payment</t>
        </is>
      </c>
      <c r="H646" t="inlineStr">
        <is>
          <t>Cust_B</t>
        </is>
      </c>
      <c r="I646" t="inlineStr">
        <is>
          <t>2024-12</t>
        </is>
      </c>
    </row>
    <row r="647">
      <c r="A647" t="n">
        <v>646</v>
      </c>
      <c r="B647" s="13" t="n">
        <v>45627</v>
      </c>
      <c r="C647" t="inlineStr">
        <is>
          <t>EUR_Operating</t>
        </is>
      </c>
      <c r="D647" t="inlineStr">
        <is>
          <t>EUR</t>
        </is>
      </c>
      <c r="E647" t="inlineStr">
        <is>
          <t>debit</t>
        </is>
      </c>
      <c r="F647" t="n">
        <v>26395</v>
      </c>
      <c r="G647" t="inlineStr">
        <is>
          <t>Loan Interest</t>
        </is>
      </c>
      <c r="H647" t="inlineStr">
        <is>
          <t>Bank Loan</t>
        </is>
      </c>
      <c r="I647" t="inlineStr">
        <is>
          <t>2024-12</t>
        </is>
      </c>
    </row>
    <row r="648">
      <c r="A648" t="n">
        <v>647</v>
      </c>
      <c r="B648" s="13" t="n">
        <v>45628</v>
      </c>
      <c r="C648" t="inlineStr">
        <is>
          <t>EUR_Operating</t>
        </is>
      </c>
      <c r="D648" t="inlineStr">
        <is>
          <t>EUR</t>
        </is>
      </c>
      <c r="E648" t="inlineStr">
        <is>
          <t>credit</t>
        </is>
      </c>
      <c r="F648" t="n">
        <v>13886.65</v>
      </c>
      <c r="G648" t="inlineStr">
        <is>
          <t>Customer Payment</t>
        </is>
      </c>
      <c r="H648" t="inlineStr">
        <is>
          <t>Cust_C</t>
        </is>
      </c>
      <c r="I648" t="inlineStr">
        <is>
          <t>2024-12</t>
        </is>
      </c>
    </row>
    <row r="649">
      <c r="A649" t="n">
        <v>648</v>
      </c>
      <c r="B649" s="13" t="n">
        <v>45629</v>
      </c>
      <c r="C649" t="inlineStr">
        <is>
          <t>EUR_Operating</t>
        </is>
      </c>
      <c r="D649" t="inlineStr">
        <is>
          <t>EUR</t>
        </is>
      </c>
      <c r="E649" t="inlineStr">
        <is>
          <t>credit</t>
        </is>
      </c>
      <c r="F649" t="n">
        <v>7600.64</v>
      </c>
      <c r="G649" t="inlineStr">
        <is>
          <t>Customer Payment</t>
        </is>
      </c>
      <c r="H649" t="inlineStr">
        <is>
          <t>Cust_C</t>
        </is>
      </c>
      <c r="I649" t="inlineStr">
        <is>
          <t>2024-12</t>
        </is>
      </c>
    </row>
    <row r="650">
      <c r="A650" t="n">
        <v>649</v>
      </c>
      <c r="B650" s="13" t="n">
        <v>45629</v>
      </c>
      <c r="C650" t="inlineStr">
        <is>
          <t>EUR_Operating</t>
        </is>
      </c>
      <c r="D650" t="inlineStr">
        <is>
          <t>EUR</t>
        </is>
      </c>
      <c r="E650" t="inlineStr">
        <is>
          <t>credit</t>
        </is>
      </c>
      <c r="F650" t="n">
        <v>6837.9</v>
      </c>
      <c r="G650" t="inlineStr">
        <is>
          <t>Customer Payment</t>
        </is>
      </c>
      <c r="H650" t="inlineStr">
        <is>
          <t>Cust_A</t>
        </is>
      </c>
      <c r="I650" t="inlineStr">
        <is>
          <t>2024-12</t>
        </is>
      </c>
    </row>
    <row r="651">
      <c r="A651" t="n">
        <v>650</v>
      </c>
      <c r="B651" s="13" t="n">
        <v>45629</v>
      </c>
      <c r="C651" t="inlineStr">
        <is>
          <t>EUR_Operating</t>
        </is>
      </c>
      <c r="D651" t="inlineStr">
        <is>
          <t>EUR</t>
        </is>
      </c>
      <c r="E651" t="inlineStr">
        <is>
          <t>debit</t>
        </is>
      </c>
      <c r="F651" t="n">
        <v>7228.85</v>
      </c>
      <c r="G651" t="inlineStr">
        <is>
          <t>Supplier Payment</t>
        </is>
      </c>
      <c r="H651" t="inlineStr">
        <is>
          <t>Vend_C</t>
        </is>
      </c>
      <c r="I651" t="inlineStr">
        <is>
          <t>2024-12</t>
        </is>
      </c>
    </row>
    <row r="652">
      <c r="A652" t="n">
        <v>651</v>
      </c>
      <c r="B652" s="13" t="n">
        <v>45630</v>
      </c>
      <c r="C652" t="inlineStr">
        <is>
          <t>EUR_Operating</t>
        </is>
      </c>
      <c r="D652" t="inlineStr">
        <is>
          <t>EUR</t>
        </is>
      </c>
      <c r="E652" t="inlineStr">
        <is>
          <t>debit</t>
        </is>
      </c>
      <c r="F652" t="n">
        <v>7494.84</v>
      </c>
      <c r="G652" t="inlineStr">
        <is>
          <t>Supplier Payment</t>
        </is>
      </c>
      <c r="H652" t="inlineStr">
        <is>
          <t>Vend_C</t>
        </is>
      </c>
      <c r="I652" t="inlineStr">
        <is>
          <t>2024-12</t>
        </is>
      </c>
    </row>
    <row r="653">
      <c r="A653" t="n">
        <v>652</v>
      </c>
      <c r="B653" s="13" t="n">
        <v>45630</v>
      </c>
      <c r="C653" t="inlineStr">
        <is>
          <t>EUR_Operating</t>
        </is>
      </c>
      <c r="D653" t="inlineStr">
        <is>
          <t>EUR</t>
        </is>
      </c>
      <c r="E653" t="inlineStr">
        <is>
          <t>debit</t>
        </is>
      </c>
      <c r="F653" t="n">
        <v>2267.55</v>
      </c>
      <c r="G653" t="inlineStr">
        <is>
          <t>Supplier Payment</t>
        </is>
      </c>
      <c r="H653" t="inlineStr">
        <is>
          <t>Vend_B</t>
        </is>
      </c>
      <c r="I653" t="inlineStr">
        <is>
          <t>2024-12</t>
        </is>
      </c>
    </row>
    <row r="654">
      <c r="A654" t="n">
        <v>653</v>
      </c>
      <c r="B654" s="13" t="n">
        <v>45631</v>
      </c>
      <c r="C654" t="inlineStr">
        <is>
          <t>EUR_Operating</t>
        </is>
      </c>
      <c r="D654" t="inlineStr">
        <is>
          <t>EUR</t>
        </is>
      </c>
      <c r="E654" t="inlineStr">
        <is>
          <t>credit</t>
        </is>
      </c>
      <c r="F654" t="n">
        <v>4976.6</v>
      </c>
      <c r="G654" t="inlineStr">
        <is>
          <t>Customer Payment</t>
        </is>
      </c>
      <c r="H654" t="inlineStr">
        <is>
          <t>Cust_C</t>
        </is>
      </c>
      <c r="I654" t="inlineStr">
        <is>
          <t>2024-12</t>
        </is>
      </c>
    </row>
    <row r="655">
      <c r="A655" t="n">
        <v>654</v>
      </c>
      <c r="B655" s="13" t="n">
        <v>45631</v>
      </c>
      <c r="C655" t="inlineStr">
        <is>
          <t>EUR_Operating</t>
        </is>
      </c>
      <c r="D655" t="inlineStr">
        <is>
          <t>EUR</t>
        </is>
      </c>
      <c r="E655" t="inlineStr">
        <is>
          <t>debit</t>
        </is>
      </c>
      <c r="F655" t="n">
        <v>490.97</v>
      </c>
      <c r="G655" t="inlineStr">
        <is>
          <t>Supplier Payment</t>
        </is>
      </c>
      <c r="H655" t="inlineStr">
        <is>
          <t>Vend_B</t>
        </is>
      </c>
      <c r="I655" t="inlineStr">
        <is>
          <t>2024-12</t>
        </is>
      </c>
    </row>
    <row r="656">
      <c r="A656" t="n">
        <v>655</v>
      </c>
      <c r="B656" s="13" t="n">
        <v>45632</v>
      </c>
      <c r="C656" t="inlineStr">
        <is>
          <t>JPY_Sales</t>
        </is>
      </c>
      <c r="D656" t="inlineStr">
        <is>
          <t>JPY</t>
        </is>
      </c>
      <c r="E656" t="inlineStr">
        <is>
          <t>credit</t>
        </is>
      </c>
      <c r="F656" t="n">
        <v>1075190</v>
      </c>
      <c r="G656" t="inlineStr">
        <is>
          <t>Customer Payment</t>
        </is>
      </c>
      <c r="H656" t="inlineStr">
        <is>
          <t>Cust_D</t>
        </is>
      </c>
      <c r="I656" t="inlineStr">
        <is>
          <t>2024-12</t>
        </is>
      </c>
    </row>
    <row r="657">
      <c r="A657" t="n">
        <v>656</v>
      </c>
      <c r="B657" s="13" t="n">
        <v>45632</v>
      </c>
      <c r="C657" t="inlineStr">
        <is>
          <t>EUR_Operating</t>
        </is>
      </c>
      <c r="D657" t="inlineStr">
        <is>
          <t>EUR</t>
        </is>
      </c>
      <c r="E657" t="inlineStr">
        <is>
          <t>credit</t>
        </is>
      </c>
      <c r="F657" t="n">
        <v>10020.2</v>
      </c>
      <c r="G657" t="inlineStr">
        <is>
          <t>Customer Payment</t>
        </is>
      </c>
      <c r="H657" t="inlineStr">
        <is>
          <t>Cust_B</t>
        </is>
      </c>
      <c r="I657" t="inlineStr">
        <is>
          <t>2024-12</t>
        </is>
      </c>
    </row>
    <row r="658">
      <c r="A658" t="n">
        <v>657</v>
      </c>
      <c r="B658" s="13" t="n">
        <v>45632</v>
      </c>
      <c r="C658" t="inlineStr">
        <is>
          <t>EUR_Operating</t>
        </is>
      </c>
      <c r="D658" t="inlineStr">
        <is>
          <t>EUR</t>
        </is>
      </c>
      <c r="E658" t="inlineStr">
        <is>
          <t>debit</t>
        </is>
      </c>
      <c r="F658" t="n">
        <v>5925.28</v>
      </c>
      <c r="G658" t="inlineStr">
        <is>
          <t>Supplier Payment</t>
        </is>
      </c>
      <c r="H658" t="inlineStr">
        <is>
          <t>Vend_B</t>
        </is>
      </c>
      <c r="I658" t="inlineStr">
        <is>
          <t>2024-12</t>
        </is>
      </c>
    </row>
    <row r="659">
      <c r="A659" t="n">
        <v>658</v>
      </c>
      <c r="B659" s="13" t="n">
        <v>45633</v>
      </c>
      <c r="C659" t="inlineStr">
        <is>
          <t>EUR_Operating</t>
        </is>
      </c>
      <c r="D659" t="inlineStr">
        <is>
          <t>EUR</t>
        </is>
      </c>
      <c r="E659" t="inlineStr">
        <is>
          <t>credit</t>
        </is>
      </c>
      <c r="F659" t="n">
        <v>16322.16</v>
      </c>
      <c r="G659" t="inlineStr">
        <is>
          <t>Customer Payment</t>
        </is>
      </c>
      <c r="H659" t="inlineStr">
        <is>
          <t>Cust_D</t>
        </is>
      </c>
      <c r="I659" t="inlineStr">
        <is>
          <t>2024-12</t>
        </is>
      </c>
    </row>
    <row r="660">
      <c r="A660" t="n">
        <v>659</v>
      </c>
      <c r="B660" s="13" t="n">
        <v>45634</v>
      </c>
      <c r="C660" t="inlineStr">
        <is>
          <t>EUR_Operating</t>
        </is>
      </c>
      <c r="D660" t="inlineStr">
        <is>
          <t>EUR</t>
        </is>
      </c>
      <c r="E660" t="inlineStr">
        <is>
          <t>credit</t>
        </is>
      </c>
      <c r="F660" t="n">
        <v>2572.23</v>
      </c>
      <c r="G660" t="inlineStr">
        <is>
          <t>Customer Payment</t>
        </is>
      </c>
      <c r="H660" t="inlineStr">
        <is>
          <t>Cust_A</t>
        </is>
      </c>
      <c r="I660" t="inlineStr">
        <is>
          <t>2024-12</t>
        </is>
      </c>
    </row>
    <row r="661">
      <c r="A661" t="n">
        <v>660</v>
      </c>
      <c r="B661" s="13" t="n">
        <v>45634</v>
      </c>
      <c r="C661" t="inlineStr">
        <is>
          <t>EUR_Operating</t>
        </is>
      </c>
      <c r="D661" t="inlineStr">
        <is>
          <t>EUR</t>
        </is>
      </c>
      <c r="E661" t="inlineStr">
        <is>
          <t>debit</t>
        </is>
      </c>
      <c r="F661" t="n">
        <v>10301.92</v>
      </c>
      <c r="G661" t="inlineStr">
        <is>
          <t>Supplier Payment</t>
        </is>
      </c>
      <c r="H661" t="inlineStr">
        <is>
          <t>Vend_A</t>
        </is>
      </c>
      <c r="I661" t="inlineStr">
        <is>
          <t>2024-12</t>
        </is>
      </c>
    </row>
    <row r="662">
      <c r="A662" t="n">
        <v>661</v>
      </c>
      <c r="B662" s="13" t="n">
        <v>45634</v>
      </c>
      <c r="C662" t="inlineStr">
        <is>
          <t>EUR_Operating</t>
        </is>
      </c>
      <c r="D662" t="inlineStr">
        <is>
          <t>EUR</t>
        </is>
      </c>
      <c r="E662" t="inlineStr">
        <is>
          <t>debit</t>
        </is>
      </c>
      <c r="F662" t="n">
        <v>8499.860000000001</v>
      </c>
      <c r="G662" t="inlineStr">
        <is>
          <t>Supplier Payment</t>
        </is>
      </c>
      <c r="H662" t="inlineStr">
        <is>
          <t>Vend_C</t>
        </is>
      </c>
      <c r="I662" t="inlineStr">
        <is>
          <t>2024-12</t>
        </is>
      </c>
    </row>
    <row r="663">
      <c r="A663" t="n">
        <v>662</v>
      </c>
      <c r="B663" s="13" t="n">
        <v>45634</v>
      </c>
      <c r="C663" t="inlineStr">
        <is>
          <t>EUR_Operating</t>
        </is>
      </c>
      <c r="D663" t="inlineStr">
        <is>
          <t>EUR</t>
        </is>
      </c>
      <c r="E663" t="inlineStr">
        <is>
          <t>debit</t>
        </is>
      </c>
      <c r="F663" t="n">
        <v>10339.84</v>
      </c>
      <c r="G663" t="inlineStr">
        <is>
          <t>Supplier Payment</t>
        </is>
      </c>
      <c r="H663" t="inlineStr">
        <is>
          <t>Vend_A</t>
        </is>
      </c>
      <c r="I663" t="inlineStr">
        <is>
          <t>2024-12</t>
        </is>
      </c>
    </row>
    <row r="664">
      <c r="A664" t="n">
        <v>663</v>
      </c>
      <c r="B664" s="13" t="n">
        <v>45635</v>
      </c>
      <c r="C664" t="inlineStr">
        <is>
          <t>EUR_Operating</t>
        </is>
      </c>
      <c r="D664" t="inlineStr">
        <is>
          <t>EUR</t>
        </is>
      </c>
      <c r="E664" t="inlineStr">
        <is>
          <t>debit</t>
        </is>
      </c>
      <c r="F664" t="n">
        <v>3118.13</v>
      </c>
      <c r="G664" t="inlineStr">
        <is>
          <t>Supplier Payment</t>
        </is>
      </c>
      <c r="H664" t="inlineStr">
        <is>
          <t>Vend_B</t>
        </is>
      </c>
      <c r="I664" t="inlineStr">
        <is>
          <t>2024-12</t>
        </is>
      </c>
    </row>
    <row r="665">
      <c r="A665" t="n">
        <v>664</v>
      </c>
      <c r="B665" s="13" t="n">
        <v>45635</v>
      </c>
      <c r="C665" t="inlineStr">
        <is>
          <t>EUR_Operating</t>
        </is>
      </c>
      <c r="D665" t="inlineStr">
        <is>
          <t>EUR</t>
        </is>
      </c>
      <c r="E665" t="inlineStr">
        <is>
          <t>debit</t>
        </is>
      </c>
      <c r="F665" t="n">
        <v>7170.8</v>
      </c>
      <c r="G665" t="inlineStr">
        <is>
          <t>Supplier Payment</t>
        </is>
      </c>
      <c r="H665" t="inlineStr">
        <is>
          <t>Vend_B</t>
        </is>
      </c>
      <c r="I665" t="inlineStr">
        <is>
          <t>2024-12</t>
        </is>
      </c>
    </row>
    <row r="666">
      <c r="A666" t="n">
        <v>665</v>
      </c>
      <c r="B666" s="13" t="n">
        <v>45636</v>
      </c>
      <c r="C666" t="inlineStr">
        <is>
          <t>JPY_Sales</t>
        </is>
      </c>
      <c r="D666" t="inlineStr">
        <is>
          <t>JPY</t>
        </is>
      </c>
      <c r="E666" t="inlineStr">
        <is>
          <t>debit</t>
        </is>
      </c>
      <c r="F666" t="n">
        <v>1535.1</v>
      </c>
      <c r="G666" t="inlineStr">
        <is>
          <t>Supplier Payment</t>
        </is>
      </c>
      <c r="H666" t="inlineStr">
        <is>
          <t>Vend_B</t>
        </is>
      </c>
      <c r="I666" t="inlineStr">
        <is>
          <t>2024-12</t>
        </is>
      </c>
    </row>
    <row r="667">
      <c r="A667" t="n">
        <v>666</v>
      </c>
      <c r="B667" s="13" t="n">
        <v>45637</v>
      </c>
      <c r="C667" t="inlineStr">
        <is>
          <t>EUR_Operating</t>
        </is>
      </c>
      <c r="D667" t="inlineStr">
        <is>
          <t>EUR</t>
        </is>
      </c>
      <c r="E667" t="inlineStr">
        <is>
          <t>debit</t>
        </is>
      </c>
      <c r="F667" t="n">
        <v>10948.11</v>
      </c>
      <c r="G667" t="inlineStr">
        <is>
          <t>Supplier Payment</t>
        </is>
      </c>
      <c r="H667" t="inlineStr">
        <is>
          <t>Vend_B</t>
        </is>
      </c>
      <c r="I667" t="inlineStr">
        <is>
          <t>2024-12</t>
        </is>
      </c>
    </row>
    <row r="668">
      <c r="A668" t="n">
        <v>667</v>
      </c>
      <c r="B668" s="13" t="n">
        <v>45637</v>
      </c>
      <c r="C668" t="inlineStr">
        <is>
          <t>EUR_Operating</t>
        </is>
      </c>
      <c r="D668" t="inlineStr">
        <is>
          <t>EUR</t>
        </is>
      </c>
      <c r="E668" t="inlineStr">
        <is>
          <t>debit</t>
        </is>
      </c>
      <c r="F668" t="n">
        <v>3118.13</v>
      </c>
      <c r="G668" t="inlineStr">
        <is>
          <t>Supplier Payment</t>
        </is>
      </c>
      <c r="H668" t="inlineStr">
        <is>
          <t>Vend_B</t>
        </is>
      </c>
      <c r="I668" t="inlineStr">
        <is>
          <t>2024-12</t>
        </is>
      </c>
    </row>
    <row r="669">
      <c r="A669" t="n">
        <v>668</v>
      </c>
      <c r="B669" s="13" t="n">
        <v>45638</v>
      </c>
      <c r="C669" t="inlineStr">
        <is>
          <t>EUR_Operating</t>
        </is>
      </c>
      <c r="D669" t="inlineStr">
        <is>
          <t>EUR</t>
        </is>
      </c>
      <c r="E669" t="inlineStr">
        <is>
          <t>credit</t>
        </is>
      </c>
      <c r="F669" t="n">
        <v>14679.18</v>
      </c>
      <c r="G669" t="inlineStr">
        <is>
          <t>Customer Payment</t>
        </is>
      </c>
      <c r="H669" t="inlineStr">
        <is>
          <t>Cust_B</t>
        </is>
      </c>
      <c r="I669" t="inlineStr">
        <is>
          <t>2024-12</t>
        </is>
      </c>
    </row>
    <row r="670">
      <c r="A670" t="n">
        <v>669</v>
      </c>
      <c r="B670" s="13" t="n">
        <v>45638</v>
      </c>
      <c r="C670" t="inlineStr">
        <is>
          <t>EUR_Operating</t>
        </is>
      </c>
      <c r="D670" t="inlineStr">
        <is>
          <t>EUR</t>
        </is>
      </c>
      <c r="E670" t="inlineStr">
        <is>
          <t>debit</t>
        </is>
      </c>
      <c r="F670" t="n">
        <v>5750.63</v>
      </c>
      <c r="G670" t="inlineStr">
        <is>
          <t>Supplier Payment</t>
        </is>
      </c>
      <c r="H670" t="inlineStr">
        <is>
          <t>Vend_A</t>
        </is>
      </c>
      <c r="I670" t="inlineStr">
        <is>
          <t>2024-12</t>
        </is>
      </c>
    </row>
    <row r="671">
      <c r="A671" t="n">
        <v>670</v>
      </c>
      <c r="B671" s="13" t="n">
        <v>45638</v>
      </c>
      <c r="C671" t="inlineStr">
        <is>
          <t>EUR_Operating</t>
        </is>
      </c>
      <c r="D671" t="inlineStr">
        <is>
          <t>EUR</t>
        </is>
      </c>
      <c r="E671" t="inlineStr">
        <is>
          <t>debit</t>
        </is>
      </c>
      <c r="F671" t="n">
        <v>10454.59</v>
      </c>
      <c r="G671" t="inlineStr">
        <is>
          <t>Supplier Payment</t>
        </is>
      </c>
      <c r="H671" t="inlineStr">
        <is>
          <t>Vend_B</t>
        </is>
      </c>
      <c r="I671" t="inlineStr">
        <is>
          <t>2024-12</t>
        </is>
      </c>
    </row>
    <row r="672">
      <c r="A672" t="n">
        <v>671</v>
      </c>
      <c r="B672" s="13" t="n">
        <v>45639</v>
      </c>
      <c r="C672" t="inlineStr">
        <is>
          <t>EUR_Operating</t>
        </is>
      </c>
      <c r="D672" t="inlineStr">
        <is>
          <t>EUR</t>
        </is>
      </c>
      <c r="E672" t="inlineStr">
        <is>
          <t>debit</t>
        </is>
      </c>
      <c r="F672" t="n">
        <v>18698.6</v>
      </c>
      <c r="G672" t="inlineStr">
        <is>
          <t>Supplier Payment</t>
        </is>
      </c>
      <c r="H672" t="inlineStr">
        <is>
          <t>Vend_B</t>
        </is>
      </c>
      <c r="I672" t="inlineStr">
        <is>
          <t>2024-12</t>
        </is>
      </c>
    </row>
    <row r="673">
      <c r="A673" t="n">
        <v>672</v>
      </c>
      <c r="B673" s="13" t="n">
        <v>45640</v>
      </c>
      <c r="C673" t="inlineStr">
        <is>
          <t>JPY_Sales</t>
        </is>
      </c>
      <c r="D673" t="inlineStr">
        <is>
          <t>JPY</t>
        </is>
      </c>
      <c r="E673" t="inlineStr">
        <is>
          <t>credit</t>
        </is>
      </c>
      <c r="F673" t="n">
        <v>2253102</v>
      </c>
      <c r="G673" t="inlineStr">
        <is>
          <t>Customer Payment</t>
        </is>
      </c>
      <c r="H673" t="inlineStr">
        <is>
          <t>Cust_D</t>
        </is>
      </c>
      <c r="I673" t="inlineStr">
        <is>
          <t>2024-12</t>
        </is>
      </c>
    </row>
    <row r="674">
      <c r="A674" t="n">
        <v>673</v>
      </c>
      <c r="B674" s="13" t="n">
        <v>45640</v>
      </c>
      <c r="C674" t="inlineStr">
        <is>
          <t>EUR_Operating</t>
        </is>
      </c>
      <c r="D674" t="inlineStr">
        <is>
          <t>EUR</t>
        </is>
      </c>
      <c r="E674" t="inlineStr">
        <is>
          <t>credit</t>
        </is>
      </c>
      <c r="F674" t="n">
        <v>7036.03</v>
      </c>
      <c r="G674" t="inlineStr">
        <is>
          <t>Customer Payment</t>
        </is>
      </c>
      <c r="H674" t="inlineStr">
        <is>
          <t>Cust_C</t>
        </is>
      </c>
      <c r="I674" t="inlineStr">
        <is>
          <t>2024-12</t>
        </is>
      </c>
    </row>
    <row r="675">
      <c r="A675" t="n">
        <v>674</v>
      </c>
      <c r="B675" s="13" t="n">
        <v>45641</v>
      </c>
      <c r="C675" t="inlineStr">
        <is>
          <t>JPY_Sales</t>
        </is>
      </c>
      <c r="D675" t="inlineStr">
        <is>
          <t>JPY</t>
        </is>
      </c>
      <c r="E675" t="inlineStr">
        <is>
          <t>credit</t>
        </is>
      </c>
      <c r="F675" t="n">
        <v>1053052</v>
      </c>
      <c r="G675" t="inlineStr">
        <is>
          <t>Customer Payment</t>
        </is>
      </c>
      <c r="H675" t="inlineStr">
        <is>
          <t>Cust_D</t>
        </is>
      </c>
      <c r="I675" t="inlineStr">
        <is>
          <t>2024-12</t>
        </is>
      </c>
    </row>
    <row r="676">
      <c r="A676" t="n">
        <v>675</v>
      </c>
      <c r="B676" s="13" t="n">
        <v>45643</v>
      </c>
      <c r="C676" t="inlineStr">
        <is>
          <t>EUR_Operating</t>
        </is>
      </c>
      <c r="D676" t="inlineStr">
        <is>
          <t>EUR</t>
        </is>
      </c>
      <c r="E676" t="inlineStr">
        <is>
          <t>credit</t>
        </is>
      </c>
      <c r="F676" t="n">
        <v>9785.98</v>
      </c>
      <c r="G676" t="inlineStr">
        <is>
          <t>Customer Payment</t>
        </is>
      </c>
      <c r="H676" t="inlineStr">
        <is>
          <t>Cust_B</t>
        </is>
      </c>
      <c r="I676" t="inlineStr">
        <is>
          <t>2024-12</t>
        </is>
      </c>
    </row>
    <row r="677">
      <c r="A677" t="n">
        <v>676</v>
      </c>
      <c r="B677" s="13" t="n">
        <v>45643</v>
      </c>
      <c r="C677" t="inlineStr">
        <is>
          <t>EUR_Operating</t>
        </is>
      </c>
      <c r="D677" t="inlineStr">
        <is>
          <t>EUR</t>
        </is>
      </c>
      <c r="E677" t="inlineStr">
        <is>
          <t>debit</t>
        </is>
      </c>
      <c r="F677" t="n">
        <v>5.04</v>
      </c>
      <c r="G677" t="inlineStr">
        <is>
          <t>Bank Fee</t>
        </is>
      </c>
      <c r="H677" t="inlineStr">
        <is>
          <t>Bank</t>
        </is>
      </c>
      <c r="I677" t="inlineStr">
        <is>
          <t>2024-12</t>
        </is>
      </c>
    </row>
    <row r="678">
      <c r="A678" t="n">
        <v>677</v>
      </c>
      <c r="B678" s="13" t="n">
        <v>45644</v>
      </c>
      <c r="C678" t="inlineStr">
        <is>
          <t>JPY_Sales</t>
        </is>
      </c>
      <c r="D678" t="inlineStr">
        <is>
          <t>JPY</t>
        </is>
      </c>
      <c r="E678" t="inlineStr">
        <is>
          <t>credit</t>
        </is>
      </c>
      <c r="F678" t="n">
        <v>740384</v>
      </c>
      <c r="G678" t="inlineStr">
        <is>
          <t>Customer Payment</t>
        </is>
      </c>
      <c r="H678" t="inlineStr">
        <is>
          <t>Cust_C</t>
        </is>
      </c>
      <c r="I678" t="inlineStr">
        <is>
          <t>2024-12</t>
        </is>
      </c>
    </row>
    <row r="679">
      <c r="A679" t="n">
        <v>678</v>
      </c>
      <c r="B679" s="13" t="n">
        <v>45644</v>
      </c>
      <c r="C679" t="inlineStr">
        <is>
          <t>EUR_Operating</t>
        </is>
      </c>
      <c r="D679" t="inlineStr">
        <is>
          <t>EUR</t>
        </is>
      </c>
      <c r="E679" t="inlineStr">
        <is>
          <t>debit</t>
        </is>
      </c>
      <c r="F679" t="n">
        <v>1760.15</v>
      </c>
      <c r="G679" t="inlineStr">
        <is>
          <t>Supplier Payment</t>
        </is>
      </c>
      <c r="H679" t="inlineStr">
        <is>
          <t>Vend_C</t>
        </is>
      </c>
      <c r="I679" t="inlineStr">
        <is>
          <t>2024-12</t>
        </is>
      </c>
    </row>
    <row r="680">
      <c r="A680" t="n">
        <v>679</v>
      </c>
      <c r="B680" s="13" t="n">
        <v>45644</v>
      </c>
      <c r="C680" t="inlineStr">
        <is>
          <t>EUR_Operating</t>
        </is>
      </c>
      <c r="D680" t="inlineStr">
        <is>
          <t>EUR</t>
        </is>
      </c>
      <c r="E680" t="inlineStr">
        <is>
          <t>debit</t>
        </is>
      </c>
      <c r="F680" t="n">
        <v>3067.13</v>
      </c>
      <c r="G680" t="inlineStr">
        <is>
          <t>Supplier Payment</t>
        </is>
      </c>
      <c r="H680" t="inlineStr">
        <is>
          <t>Vend_A</t>
        </is>
      </c>
      <c r="I680" t="inlineStr">
        <is>
          <t>2024-12</t>
        </is>
      </c>
    </row>
    <row r="681">
      <c r="A681" t="n">
        <v>680</v>
      </c>
      <c r="B681" s="13" t="n">
        <v>45645</v>
      </c>
      <c r="C681" t="inlineStr">
        <is>
          <t>EUR_Operating</t>
        </is>
      </c>
      <c r="D681" t="inlineStr">
        <is>
          <t>EUR</t>
        </is>
      </c>
      <c r="E681" t="inlineStr">
        <is>
          <t>credit</t>
        </is>
      </c>
      <c r="F681" t="n">
        <v>18812.01</v>
      </c>
      <c r="G681" t="inlineStr">
        <is>
          <t>Customer Payment</t>
        </is>
      </c>
      <c r="H681" t="inlineStr">
        <is>
          <t>Cust_C</t>
        </is>
      </c>
      <c r="I681" t="inlineStr">
        <is>
          <t>2024-12</t>
        </is>
      </c>
    </row>
    <row r="682">
      <c r="A682" t="n">
        <v>681</v>
      </c>
      <c r="B682" s="13" t="n">
        <v>45645</v>
      </c>
      <c r="C682" t="inlineStr">
        <is>
          <t>EUR_Operating</t>
        </is>
      </c>
      <c r="D682" t="inlineStr">
        <is>
          <t>EUR</t>
        </is>
      </c>
      <c r="E682" t="inlineStr">
        <is>
          <t>debit</t>
        </is>
      </c>
      <c r="F682" t="n">
        <v>5069.19</v>
      </c>
      <c r="G682" t="inlineStr">
        <is>
          <t>Supplier Payment</t>
        </is>
      </c>
      <c r="H682" t="inlineStr">
        <is>
          <t>Vend_C</t>
        </is>
      </c>
      <c r="I682" t="inlineStr">
        <is>
          <t>2024-12</t>
        </is>
      </c>
    </row>
    <row r="683">
      <c r="A683" t="n">
        <v>682</v>
      </c>
      <c r="B683" s="13" t="n">
        <v>45645</v>
      </c>
      <c r="C683" t="inlineStr">
        <is>
          <t>EUR_Operating</t>
        </is>
      </c>
      <c r="D683" t="inlineStr">
        <is>
          <t>EUR</t>
        </is>
      </c>
      <c r="E683" t="inlineStr">
        <is>
          <t>debit</t>
        </is>
      </c>
      <c r="F683" t="n">
        <v>2484.68</v>
      </c>
      <c r="G683" t="inlineStr">
        <is>
          <t>Supplier Payment</t>
        </is>
      </c>
      <c r="H683" t="inlineStr">
        <is>
          <t>Vend_C</t>
        </is>
      </c>
      <c r="I683" t="inlineStr">
        <is>
          <t>2024-12</t>
        </is>
      </c>
    </row>
    <row r="684">
      <c r="A684" t="n">
        <v>683</v>
      </c>
      <c r="B684" s="13" t="n">
        <v>45645</v>
      </c>
      <c r="C684" t="inlineStr">
        <is>
          <t>EUR_Operating</t>
        </is>
      </c>
      <c r="D684" t="inlineStr">
        <is>
          <t>EUR</t>
        </is>
      </c>
      <c r="E684" t="inlineStr">
        <is>
          <t>debit</t>
        </is>
      </c>
      <c r="F684" t="n">
        <v>3786.83</v>
      </c>
      <c r="G684" t="inlineStr">
        <is>
          <t>Supplier Payment</t>
        </is>
      </c>
      <c r="H684" t="inlineStr">
        <is>
          <t>Vend_B</t>
        </is>
      </c>
      <c r="I684" t="inlineStr">
        <is>
          <t>2024-12</t>
        </is>
      </c>
    </row>
    <row r="685">
      <c r="A685" t="n">
        <v>684</v>
      </c>
      <c r="B685" s="13" t="n">
        <v>45646</v>
      </c>
      <c r="C685" t="inlineStr">
        <is>
          <t>EUR_Operating</t>
        </is>
      </c>
      <c r="D685" t="inlineStr">
        <is>
          <t>EUR</t>
        </is>
      </c>
      <c r="E685" t="inlineStr">
        <is>
          <t>credit</t>
        </is>
      </c>
      <c r="F685" t="n">
        <v>21490.93</v>
      </c>
      <c r="G685" t="inlineStr">
        <is>
          <t>Customer Payment</t>
        </is>
      </c>
      <c r="H685" t="inlineStr">
        <is>
          <t>Cust_B</t>
        </is>
      </c>
      <c r="I685" t="inlineStr">
        <is>
          <t>2024-12</t>
        </is>
      </c>
    </row>
    <row r="686">
      <c r="A686" t="n">
        <v>685</v>
      </c>
      <c r="B686" s="13" t="n">
        <v>45646</v>
      </c>
      <c r="C686" t="inlineStr">
        <is>
          <t>EUR_Operating</t>
        </is>
      </c>
      <c r="D686" t="inlineStr">
        <is>
          <t>EUR</t>
        </is>
      </c>
      <c r="E686" t="inlineStr">
        <is>
          <t>debit</t>
        </is>
      </c>
      <c r="F686" t="n">
        <v>9837.07</v>
      </c>
      <c r="G686" t="inlineStr">
        <is>
          <t>Supplier Payment</t>
        </is>
      </c>
      <c r="H686" t="inlineStr">
        <is>
          <t>Vend_B</t>
        </is>
      </c>
      <c r="I686" t="inlineStr">
        <is>
          <t>2024-12</t>
        </is>
      </c>
    </row>
    <row r="687">
      <c r="A687" t="n">
        <v>686</v>
      </c>
      <c r="B687" s="13" t="n">
        <v>45647</v>
      </c>
      <c r="C687" t="inlineStr">
        <is>
          <t>EUR_Operating</t>
        </is>
      </c>
      <c r="D687" t="inlineStr">
        <is>
          <t>EUR</t>
        </is>
      </c>
      <c r="E687" t="inlineStr">
        <is>
          <t>debit</t>
        </is>
      </c>
      <c r="F687" t="n">
        <v>2651.15</v>
      </c>
      <c r="G687" t="inlineStr">
        <is>
          <t>Supplier Payment</t>
        </is>
      </c>
      <c r="H687" t="inlineStr">
        <is>
          <t>Vend_B</t>
        </is>
      </c>
      <c r="I687" t="inlineStr">
        <is>
          <t>2024-12</t>
        </is>
      </c>
    </row>
    <row r="688">
      <c r="A688" t="n">
        <v>687</v>
      </c>
      <c r="B688" s="13" t="n">
        <v>45648</v>
      </c>
      <c r="C688" t="inlineStr">
        <is>
          <t>EUR_Operating</t>
        </is>
      </c>
      <c r="D688" t="inlineStr">
        <is>
          <t>EUR</t>
        </is>
      </c>
      <c r="E688" t="inlineStr">
        <is>
          <t>credit</t>
        </is>
      </c>
      <c r="F688" t="n">
        <v>4095.87</v>
      </c>
      <c r="G688" t="inlineStr">
        <is>
          <t>Customer Payment</t>
        </is>
      </c>
      <c r="H688" t="inlineStr">
        <is>
          <t>Cust_A</t>
        </is>
      </c>
      <c r="I688" t="inlineStr">
        <is>
          <t>2024-12</t>
        </is>
      </c>
    </row>
    <row r="689">
      <c r="A689" t="n">
        <v>688</v>
      </c>
      <c r="B689" s="13" t="n">
        <v>45648</v>
      </c>
      <c r="C689" t="inlineStr">
        <is>
          <t>EUR_Operating</t>
        </is>
      </c>
      <c r="D689" t="inlineStr">
        <is>
          <t>EUR</t>
        </is>
      </c>
      <c r="E689" t="inlineStr">
        <is>
          <t>debit</t>
        </is>
      </c>
      <c r="F689" t="n">
        <v>6150.07</v>
      </c>
      <c r="G689" t="inlineStr">
        <is>
          <t>Supplier Payment</t>
        </is>
      </c>
      <c r="H689" t="inlineStr">
        <is>
          <t>Vend_A</t>
        </is>
      </c>
      <c r="I689" t="inlineStr">
        <is>
          <t>2024-12</t>
        </is>
      </c>
    </row>
    <row r="690">
      <c r="A690" t="n">
        <v>689</v>
      </c>
      <c r="B690" s="13" t="n">
        <v>45649</v>
      </c>
      <c r="C690" t="inlineStr">
        <is>
          <t>EUR_Operating</t>
        </is>
      </c>
      <c r="D690" t="inlineStr">
        <is>
          <t>EUR</t>
        </is>
      </c>
      <c r="E690" t="inlineStr">
        <is>
          <t>credit</t>
        </is>
      </c>
      <c r="F690" t="n">
        <v>5657.26</v>
      </c>
      <c r="G690" t="inlineStr">
        <is>
          <t>Customer Payment</t>
        </is>
      </c>
      <c r="H690" t="inlineStr">
        <is>
          <t>Cust_A</t>
        </is>
      </c>
      <c r="I690" t="inlineStr">
        <is>
          <t>2024-12</t>
        </is>
      </c>
    </row>
    <row r="691">
      <c r="A691" t="n">
        <v>690</v>
      </c>
      <c r="B691" s="13" t="n">
        <v>45649</v>
      </c>
      <c r="C691" t="inlineStr">
        <is>
          <t>EUR_Operating</t>
        </is>
      </c>
      <c r="D691" t="inlineStr">
        <is>
          <t>EUR</t>
        </is>
      </c>
      <c r="E691" t="inlineStr">
        <is>
          <t>debit</t>
        </is>
      </c>
      <c r="F691" t="n">
        <v>5086.28</v>
      </c>
      <c r="G691" t="inlineStr">
        <is>
          <t>Supplier Payment</t>
        </is>
      </c>
      <c r="H691" t="inlineStr">
        <is>
          <t>Vend_C</t>
        </is>
      </c>
      <c r="I691" t="inlineStr">
        <is>
          <t>2024-12</t>
        </is>
      </c>
    </row>
    <row r="692">
      <c r="A692" t="n">
        <v>691</v>
      </c>
      <c r="B692" s="13" t="n">
        <v>45650</v>
      </c>
      <c r="C692" t="inlineStr">
        <is>
          <t>EUR_Operating</t>
        </is>
      </c>
      <c r="D692" t="inlineStr">
        <is>
          <t>EUR</t>
        </is>
      </c>
      <c r="E692" t="inlineStr">
        <is>
          <t>debit</t>
        </is>
      </c>
      <c r="F692" t="n">
        <v>1886.78</v>
      </c>
      <c r="G692" t="inlineStr">
        <is>
          <t>Supplier Payment</t>
        </is>
      </c>
      <c r="H692" t="inlineStr">
        <is>
          <t>Vend_B</t>
        </is>
      </c>
      <c r="I692" t="inlineStr">
        <is>
          <t>2024-12</t>
        </is>
      </c>
    </row>
    <row r="693">
      <c r="A693" t="n">
        <v>692</v>
      </c>
      <c r="B693" s="13" t="n">
        <v>45651</v>
      </c>
      <c r="C693" t="inlineStr">
        <is>
          <t>EUR_Payroll</t>
        </is>
      </c>
      <c r="D693" t="inlineStr">
        <is>
          <t>EUR</t>
        </is>
      </c>
      <c r="E693" t="inlineStr">
        <is>
          <t>debit</t>
        </is>
      </c>
      <c r="F693" t="n">
        <v>122280.96</v>
      </c>
      <c r="G693" t="inlineStr">
        <is>
          <t>Payroll</t>
        </is>
      </c>
      <c r="H693" t="inlineStr">
        <is>
          <t>Payroll</t>
        </is>
      </c>
      <c r="I693" t="inlineStr">
        <is>
          <t>2024-12</t>
        </is>
      </c>
    </row>
    <row r="694">
      <c r="A694" t="n">
        <v>693</v>
      </c>
      <c r="B694" s="13" t="n">
        <v>45651</v>
      </c>
      <c r="C694" t="inlineStr">
        <is>
          <t>EUR_Operating</t>
        </is>
      </c>
      <c r="D694" t="inlineStr">
        <is>
          <t>EUR</t>
        </is>
      </c>
      <c r="E694" t="inlineStr">
        <is>
          <t>debit</t>
        </is>
      </c>
      <c r="F694" t="n">
        <v>122280.96</v>
      </c>
      <c r="G694" t="inlineStr">
        <is>
          <t>Transfer to Payroll</t>
        </is>
      </c>
      <c r="H694" t="inlineStr">
        <is>
          <t>Payroll</t>
        </is>
      </c>
      <c r="I694" t="inlineStr">
        <is>
          <t>2024-12</t>
        </is>
      </c>
    </row>
    <row r="695">
      <c r="A695" t="n">
        <v>694</v>
      </c>
      <c r="B695" s="13" t="n">
        <v>45652</v>
      </c>
      <c r="C695" t="inlineStr">
        <is>
          <t>EUR_Operating</t>
        </is>
      </c>
      <c r="D695" t="inlineStr">
        <is>
          <t>EUR</t>
        </is>
      </c>
      <c r="E695" t="inlineStr">
        <is>
          <t>credit</t>
        </is>
      </c>
      <c r="F695" t="n">
        <v>15366.94</v>
      </c>
      <c r="G695" t="inlineStr">
        <is>
          <t>Customer Payment</t>
        </is>
      </c>
      <c r="H695" t="inlineStr">
        <is>
          <t>Cust_B</t>
        </is>
      </c>
      <c r="I695" t="inlineStr">
        <is>
          <t>2024-12</t>
        </is>
      </c>
    </row>
    <row r="696">
      <c r="A696" t="n">
        <v>695</v>
      </c>
      <c r="B696" s="13" t="n">
        <v>45652</v>
      </c>
      <c r="C696" t="inlineStr">
        <is>
          <t>EUR_Operating</t>
        </is>
      </c>
      <c r="D696" t="inlineStr">
        <is>
          <t>EUR</t>
        </is>
      </c>
      <c r="E696" t="inlineStr">
        <is>
          <t>credit</t>
        </is>
      </c>
      <c r="F696" t="n">
        <v>9179.66</v>
      </c>
      <c r="G696" t="inlineStr">
        <is>
          <t>Customer Payment</t>
        </is>
      </c>
      <c r="H696" t="inlineStr">
        <is>
          <t>Cust_B</t>
        </is>
      </c>
      <c r="I696" t="inlineStr">
        <is>
          <t>2024-12</t>
        </is>
      </c>
    </row>
    <row r="697">
      <c r="A697" t="n">
        <v>696</v>
      </c>
      <c r="B697" s="13" t="n">
        <v>45652</v>
      </c>
      <c r="C697" t="inlineStr">
        <is>
          <t>EUR_Operating</t>
        </is>
      </c>
      <c r="D697" t="inlineStr">
        <is>
          <t>EUR</t>
        </is>
      </c>
      <c r="E697" t="inlineStr">
        <is>
          <t>credit</t>
        </is>
      </c>
      <c r="F697" t="n">
        <v>2145.6</v>
      </c>
      <c r="G697" t="inlineStr">
        <is>
          <t>Customer Payment</t>
        </is>
      </c>
      <c r="H697" t="inlineStr">
        <is>
          <t>Cust_B</t>
        </is>
      </c>
      <c r="I697" t="inlineStr">
        <is>
          <t>2024-12</t>
        </is>
      </c>
    </row>
    <row r="698">
      <c r="A698" t="n">
        <v>697</v>
      </c>
      <c r="B698" s="13" t="n">
        <v>45652</v>
      </c>
      <c r="C698" t="inlineStr">
        <is>
          <t>JPY_Sales</t>
        </is>
      </c>
      <c r="D698" t="inlineStr">
        <is>
          <t>JPY</t>
        </is>
      </c>
      <c r="E698" t="inlineStr">
        <is>
          <t>debit</t>
        </is>
      </c>
      <c r="F698" t="n">
        <v>16626.38</v>
      </c>
      <c r="G698" t="inlineStr">
        <is>
          <t>Supplier Payment</t>
        </is>
      </c>
      <c r="H698" t="inlineStr">
        <is>
          <t>Vend_B</t>
        </is>
      </c>
      <c r="I698" t="inlineStr">
        <is>
          <t>2024-12</t>
        </is>
      </c>
    </row>
    <row r="699">
      <c r="A699" t="n">
        <v>698</v>
      </c>
      <c r="B699" s="13" t="n">
        <v>45653</v>
      </c>
      <c r="C699" t="inlineStr">
        <is>
          <t>EUR_Operating</t>
        </is>
      </c>
      <c r="D699" t="inlineStr">
        <is>
          <t>EUR</t>
        </is>
      </c>
      <c r="E699" t="inlineStr">
        <is>
          <t>credit</t>
        </is>
      </c>
      <c r="F699" t="n">
        <v>12962.12</v>
      </c>
      <c r="G699" t="inlineStr">
        <is>
          <t>Customer Payment</t>
        </is>
      </c>
      <c r="H699" t="inlineStr">
        <is>
          <t>Cust_D</t>
        </is>
      </c>
      <c r="I699" t="inlineStr">
        <is>
          <t>2024-12</t>
        </is>
      </c>
    </row>
    <row r="700">
      <c r="A700" t="n">
        <v>699</v>
      </c>
      <c r="B700" s="13" t="n">
        <v>45653</v>
      </c>
      <c r="C700" t="inlineStr">
        <is>
          <t>EUR_Operating</t>
        </is>
      </c>
      <c r="D700" t="inlineStr">
        <is>
          <t>EUR</t>
        </is>
      </c>
      <c r="E700" t="inlineStr">
        <is>
          <t>credit</t>
        </is>
      </c>
      <c r="F700" t="n">
        <v>9706.209999999999</v>
      </c>
      <c r="G700" t="inlineStr">
        <is>
          <t>Customer Payment</t>
        </is>
      </c>
      <c r="H700" t="inlineStr">
        <is>
          <t>Cust_C</t>
        </is>
      </c>
      <c r="I700" t="inlineStr">
        <is>
          <t>2024-12</t>
        </is>
      </c>
    </row>
    <row r="701">
      <c r="A701" t="n">
        <v>700</v>
      </c>
      <c r="B701" s="13" t="n">
        <v>45653</v>
      </c>
      <c r="C701" t="inlineStr">
        <is>
          <t>EUR_Operating</t>
        </is>
      </c>
      <c r="D701" t="inlineStr">
        <is>
          <t>EUR</t>
        </is>
      </c>
      <c r="E701" t="inlineStr">
        <is>
          <t>debit</t>
        </is>
      </c>
      <c r="F701" t="n">
        <v>5991.81</v>
      </c>
      <c r="G701" t="inlineStr">
        <is>
          <t>Supplier Payment</t>
        </is>
      </c>
      <c r="H701" t="inlineStr">
        <is>
          <t>Vend_A</t>
        </is>
      </c>
      <c r="I701" t="inlineStr">
        <is>
          <t>2024-12</t>
        </is>
      </c>
    </row>
    <row r="702">
      <c r="A702" t="n">
        <v>701</v>
      </c>
      <c r="B702" s="13" t="n">
        <v>45654</v>
      </c>
      <c r="C702" t="inlineStr">
        <is>
          <t>EUR_Operating</t>
        </is>
      </c>
      <c r="D702" t="inlineStr">
        <is>
          <t>EUR</t>
        </is>
      </c>
      <c r="E702" t="inlineStr">
        <is>
          <t>credit</t>
        </is>
      </c>
      <c r="F702" t="n">
        <v>14856.78</v>
      </c>
      <c r="G702" t="inlineStr">
        <is>
          <t>Customer Payment</t>
        </is>
      </c>
      <c r="H702" t="inlineStr">
        <is>
          <t>Cust_B</t>
        </is>
      </c>
      <c r="I702" t="inlineStr">
        <is>
          <t>2024-12</t>
        </is>
      </c>
    </row>
    <row r="703">
      <c r="A703" t="n">
        <v>702</v>
      </c>
      <c r="B703" s="13" t="n">
        <v>45654</v>
      </c>
      <c r="C703" t="inlineStr">
        <is>
          <t>EUR_Operating</t>
        </is>
      </c>
      <c r="D703" t="inlineStr">
        <is>
          <t>EUR</t>
        </is>
      </c>
      <c r="E703" t="inlineStr">
        <is>
          <t>debit</t>
        </is>
      </c>
      <c r="F703" t="n">
        <v>7494.84</v>
      </c>
      <c r="G703" t="inlineStr">
        <is>
          <t>Supplier Payment</t>
        </is>
      </c>
      <c r="H703" t="inlineStr">
        <is>
          <t>Vend_C</t>
        </is>
      </c>
      <c r="I703" t="inlineStr">
        <is>
          <t>2024-12</t>
        </is>
      </c>
    </row>
    <row r="704">
      <c r="A704" t="n">
        <v>703</v>
      </c>
      <c r="B704" s="13" t="n">
        <v>45655</v>
      </c>
      <c r="C704" t="inlineStr">
        <is>
          <t>EUR_Operating</t>
        </is>
      </c>
      <c r="D704" t="inlineStr">
        <is>
          <t>EUR</t>
        </is>
      </c>
      <c r="E704" t="inlineStr">
        <is>
          <t>credit</t>
        </is>
      </c>
      <c r="F704" t="n">
        <v>7739.44</v>
      </c>
      <c r="G704" t="inlineStr">
        <is>
          <t>Customer Payment</t>
        </is>
      </c>
      <c r="H704" t="inlineStr">
        <is>
          <t>Cust_B</t>
        </is>
      </c>
      <c r="I704" t="inlineStr">
        <is>
          <t>2024-12</t>
        </is>
      </c>
    </row>
    <row r="705">
      <c r="A705" t="n">
        <v>704</v>
      </c>
      <c r="B705" s="13" t="n">
        <v>45656</v>
      </c>
      <c r="C705" t="inlineStr">
        <is>
          <t>USD_Sales</t>
        </is>
      </c>
      <c r="D705" t="inlineStr">
        <is>
          <t>USD</t>
        </is>
      </c>
      <c r="E705" t="inlineStr">
        <is>
          <t>credit</t>
        </is>
      </c>
      <c r="F705" t="n">
        <v>14192.35</v>
      </c>
      <c r="G705" t="inlineStr">
        <is>
          <t>Customer Payment</t>
        </is>
      </c>
      <c r="H705" t="inlineStr">
        <is>
          <t>Cust_D</t>
        </is>
      </c>
      <c r="I705" t="inlineStr">
        <is>
          <t>2024-12</t>
        </is>
      </c>
    </row>
    <row r="706">
      <c r="A706" t="n">
        <v>705</v>
      </c>
      <c r="B706" s="13" t="n">
        <v>45656</v>
      </c>
      <c r="C706" t="inlineStr">
        <is>
          <t>EUR_Operating</t>
        </is>
      </c>
      <c r="D706" t="inlineStr">
        <is>
          <t>EUR</t>
        </is>
      </c>
      <c r="E706" t="inlineStr">
        <is>
          <t>debit</t>
        </is>
      </c>
      <c r="F706" t="n">
        <v>5642.89</v>
      </c>
      <c r="G706" t="inlineStr">
        <is>
          <t>Supplier Payment</t>
        </is>
      </c>
      <c r="H706" t="inlineStr">
        <is>
          <t>Vend_B</t>
        </is>
      </c>
      <c r="I706" t="inlineStr">
        <is>
          <t>2024-12</t>
        </is>
      </c>
    </row>
    <row r="707">
      <c r="A707" t="n">
        <v>706</v>
      </c>
      <c r="B707" s="13" t="n">
        <v>45656</v>
      </c>
      <c r="C707" t="inlineStr">
        <is>
          <t>EUR_Operating</t>
        </is>
      </c>
      <c r="D707" t="inlineStr">
        <is>
          <t>EUR</t>
        </is>
      </c>
      <c r="E707" t="inlineStr">
        <is>
          <t>debit</t>
        </is>
      </c>
      <c r="F707" t="n">
        <v>4141.01</v>
      </c>
      <c r="G707" t="inlineStr">
        <is>
          <t>Supplier Payment</t>
        </is>
      </c>
      <c r="H707" t="inlineStr">
        <is>
          <t>Vend_A</t>
        </is>
      </c>
      <c r="I707" t="inlineStr">
        <is>
          <t>2024-12</t>
        </is>
      </c>
    </row>
    <row r="708">
      <c r="A708" t="n">
        <v>707</v>
      </c>
      <c r="B708" s="13" t="n">
        <v>45657</v>
      </c>
      <c r="C708" t="inlineStr">
        <is>
          <t>EUR_Operating</t>
        </is>
      </c>
      <c r="D708" t="inlineStr">
        <is>
          <t>EUR</t>
        </is>
      </c>
      <c r="E708" t="inlineStr">
        <is>
          <t>debit</t>
        </is>
      </c>
      <c r="F708" t="n">
        <v>6019.27</v>
      </c>
      <c r="G708" t="inlineStr">
        <is>
          <t>Supplier Payment</t>
        </is>
      </c>
      <c r="H708" t="inlineStr">
        <is>
          <t>Vend_B</t>
        </is>
      </c>
      <c r="I708" t="inlineStr">
        <is>
          <t>2024-12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invoice_id</t>
        </is>
      </c>
      <c r="B1" s="6" t="inlineStr">
        <is>
          <t>customer</t>
        </is>
      </c>
      <c r="C1" s="6" t="inlineStr">
        <is>
          <t>issue_date</t>
        </is>
      </c>
      <c r="D1" s="6" t="inlineStr">
        <is>
          <t>due_date</t>
        </is>
      </c>
      <c r="E1" s="6" t="inlineStr">
        <is>
          <t>currency</t>
        </is>
      </c>
      <c r="F1" s="6" t="inlineStr">
        <is>
          <t>amount</t>
        </is>
      </c>
      <c r="G1" s="6" t="inlineStr">
        <is>
          <t>status</t>
        </is>
      </c>
      <c r="H1" s="6" t="inlineStr">
        <is>
          <t>payment_date</t>
        </is>
      </c>
    </row>
    <row r="2">
      <c r="A2" t="n">
        <v>6000</v>
      </c>
      <c r="B2" t="inlineStr">
        <is>
          <t>Cust_A</t>
        </is>
      </c>
      <c r="C2" s="13" t="n">
        <v>45318</v>
      </c>
      <c r="D2" s="13" t="n">
        <v>45363</v>
      </c>
      <c r="E2" t="inlineStr">
        <is>
          <t>EUR</t>
        </is>
      </c>
      <c r="F2" t="n">
        <v>7086.27</v>
      </c>
      <c r="G2" t="inlineStr">
        <is>
          <t>Paid</t>
        </is>
      </c>
      <c r="H2" s="13" t="n">
        <v>45366</v>
      </c>
    </row>
    <row r="3">
      <c r="A3" t="n">
        <v>6001</v>
      </c>
      <c r="B3" t="inlineStr">
        <is>
          <t>Cust_B</t>
        </is>
      </c>
      <c r="C3" s="13" t="n">
        <v>45486</v>
      </c>
      <c r="D3" s="13" t="n">
        <v>45546</v>
      </c>
      <c r="E3" t="inlineStr">
        <is>
          <t>EUR</t>
        </is>
      </c>
      <c r="F3" t="n">
        <v>17643.68</v>
      </c>
      <c r="G3" t="inlineStr">
        <is>
          <t>Paid</t>
        </is>
      </c>
      <c r="H3" s="13" t="n">
        <v>45547</v>
      </c>
    </row>
    <row r="4">
      <c r="A4" t="n">
        <v>6002</v>
      </c>
      <c r="B4" t="inlineStr">
        <is>
          <t>Cust_A</t>
        </is>
      </c>
      <c r="C4" s="13" t="n">
        <v>45361</v>
      </c>
      <c r="D4" s="13" t="n">
        <v>45406</v>
      </c>
      <c r="E4" t="inlineStr">
        <is>
          <t>EUR</t>
        </is>
      </c>
      <c r="F4" t="n">
        <v>13893.76</v>
      </c>
      <c r="G4" t="inlineStr">
        <is>
          <t>Paid</t>
        </is>
      </c>
      <c r="H4" s="13" t="n">
        <v>45411</v>
      </c>
    </row>
    <row r="5">
      <c r="A5" t="n">
        <v>6003</v>
      </c>
      <c r="B5" t="inlineStr">
        <is>
          <t>Cust_C</t>
        </is>
      </c>
      <c r="C5" s="13" t="n">
        <v>45515</v>
      </c>
      <c r="D5" s="13" t="n">
        <v>45545</v>
      </c>
      <c r="E5" t="inlineStr">
        <is>
          <t>USD</t>
        </is>
      </c>
      <c r="F5" t="n">
        <v>15110.81</v>
      </c>
      <c r="G5" t="inlineStr">
        <is>
          <t>Paid</t>
        </is>
      </c>
      <c r="H5" s="13" t="n">
        <v>45545</v>
      </c>
    </row>
    <row r="6">
      <c r="A6" t="n">
        <v>6004</v>
      </c>
      <c r="B6" t="inlineStr">
        <is>
          <t>Cust_B</t>
        </is>
      </c>
      <c r="C6" s="13" t="n">
        <v>45521</v>
      </c>
      <c r="D6" s="13" t="n">
        <v>45551</v>
      </c>
      <c r="E6" t="inlineStr">
        <is>
          <t>JPY</t>
        </is>
      </c>
      <c r="F6" t="n">
        <v>2150279</v>
      </c>
      <c r="G6" t="inlineStr">
        <is>
          <t>Paid</t>
        </is>
      </c>
      <c r="H6" s="13" t="n">
        <v>45555</v>
      </c>
    </row>
    <row r="7">
      <c r="A7" t="n">
        <v>6005</v>
      </c>
      <c r="B7" t="inlineStr">
        <is>
          <t>Cust_D</t>
        </is>
      </c>
      <c r="C7" s="13" t="n">
        <v>45302</v>
      </c>
      <c r="D7" s="13" t="n">
        <v>45347</v>
      </c>
      <c r="E7" t="inlineStr">
        <is>
          <t>JPY</t>
        </is>
      </c>
      <c r="F7" t="n">
        <v>765924</v>
      </c>
      <c r="G7" t="inlineStr">
        <is>
          <t>Paid</t>
        </is>
      </c>
      <c r="H7" s="13" t="n">
        <v>45355</v>
      </c>
    </row>
    <row r="8">
      <c r="A8" t="n">
        <v>6006</v>
      </c>
      <c r="B8" t="inlineStr">
        <is>
          <t>Cust_B</t>
        </is>
      </c>
      <c r="C8" s="13" t="n">
        <v>45310</v>
      </c>
      <c r="D8" s="13" t="n">
        <v>45355</v>
      </c>
      <c r="E8" t="inlineStr">
        <is>
          <t>EUR</t>
        </is>
      </c>
      <c r="F8" t="n">
        <v>1746.27</v>
      </c>
      <c r="G8" t="inlineStr">
        <is>
          <t>Open</t>
        </is>
      </c>
    </row>
    <row r="9">
      <c r="A9" t="n">
        <v>6007</v>
      </c>
      <c r="B9" t="inlineStr">
        <is>
          <t>Cust_C</t>
        </is>
      </c>
      <c r="C9" s="13" t="n">
        <v>45603</v>
      </c>
      <c r="D9" s="13" t="n">
        <v>45663</v>
      </c>
      <c r="E9" t="inlineStr">
        <is>
          <t>EUR</t>
        </is>
      </c>
      <c r="F9" t="n">
        <v>15749.29</v>
      </c>
      <c r="G9" t="inlineStr">
        <is>
          <t>Open</t>
        </is>
      </c>
    </row>
    <row r="10">
      <c r="A10" t="n">
        <v>6008</v>
      </c>
      <c r="B10" t="inlineStr">
        <is>
          <t>Cust_D</t>
        </is>
      </c>
      <c r="C10" s="13" t="n">
        <v>45298</v>
      </c>
      <c r="D10" s="13" t="n">
        <v>45343</v>
      </c>
      <c r="E10" t="inlineStr">
        <is>
          <t>USD</t>
        </is>
      </c>
      <c r="F10" t="n">
        <v>7970.26</v>
      </c>
      <c r="G10" t="inlineStr">
        <is>
          <t>Paid</t>
        </is>
      </c>
      <c r="H10" s="13" t="n">
        <v>45356</v>
      </c>
    </row>
    <row r="11">
      <c r="A11" t="n">
        <v>6009</v>
      </c>
      <c r="B11" t="inlineStr">
        <is>
          <t>Cust_B</t>
        </is>
      </c>
      <c r="C11" s="13" t="n">
        <v>45558</v>
      </c>
      <c r="D11" s="13" t="n">
        <v>45618</v>
      </c>
      <c r="E11" t="inlineStr">
        <is>
          <t>EUR</t>
        </is>
      </c>
      <c r="F11" t="n">
        <v>14679.18</v>
      </c>
      <c r="G11" t="inlineStr">
        <is>
          <t>Paid</t>
        </is>
      </c>
      <c r="H11" s="13" t="n">
        <v>45638</v>
      </c>
    </row>
    <row r="12">
      <c r="A12" t="n">
        <v>6010</v>
      </c>
      <c r="B12" t="inlineStr">
        <is>
          <t>Cust_D</t>
        </is>
      </c>
      <c r="C12" s="13" t="n">
        <v>45334</v>
      </c>
      <c r="D12" s="13" t="n">
        <v>45379</v>
      </c>
      <c r="E12" t="inlineStr">
        <is>
          <t>EUR</t>
        </is>
      </c>
      <c r="F12" t="n">
        <v>4556.83</v>
      </c>
      <c r="G12" t="inlineStr">
        <is>
          <t>Paid</t>
        </is>
      </c>
      <c r="H12" s="13" t="n">
        <v>45389</v>
      </c>
    </row>
    <row r="13">
      <c r="A13" t="n">
        <v>6011</v>
      </c>
      <c r="B13" t="inlineStr">
        <is>
          <t>Cust_A</t>
        </is>
      </c>
      <c r="C13" s="13" t="n">
        <v>45329</v>
      </c>
      <c r="D13" s="13" t="n">
        <v>45389</v>
      </c>
      <c r="E13" t="inlineStr">
        <is>
          <t>EUR</t>
        </is>
      </c>
      <c r="F13" t="n">
        <v>2975.97</v>
      </c>
      <c r="G13" t="inlineStr">
        <is>
          <t>Paid</t>
        </is>
      </c>
      <c r="H13" s="13" t="n">
        <v>45399</v>
      </c>
    </row>
    <row r="14">
      <c r="A14" t="n">
        <v>6012</v>
      </c>
      <c r="B14" t="inlineStr">
        <is>
          <t>Cust_C</t>
        </is>
      </c>
      <c r="C14" s="13" t="n">
        <v>45388</v>
      </c>
      <c r="D14" s="13" t="n">
        <v>45448</v>
      </c>
      <c r="E14" t="inlineStr">
        <is>
          <t>EUR</t>
        </is>
      </c>
      <c r="F14" t="n">
        <v>2272.19</v>
      </c>
      <c r="G14" t="inlineStr">
        <is>
          <t>Paid</t>
        </is>
      </c>
      <c r="H14" s="13" t="n">
        <v>45448</v>
      </c>
    </row>
    <row r="15">
      <c r="A15" t="n">
        <v>6013</v>
      </c>
      <c r="B15" t="inlineStr">
        <is>
          <t>Cust_A</t>
        </is>
      </c>
      <c r="C15" s="13" t="n">
        <v>45409</v>
      </c>
      <c r="D15" s="13" t="n">
        <v>45454</v>
      </c>
      <c r="E15" t="inlineStr">
        <is>
          <t>EUR</t>
        </is>
      </c>
      <c r="F15" t="n">
        <v>1612.9</v>
      </c>
      <c r="G15" t="inlineStr">
        <is>
          <t>Open</t>
        </is>
      </c>
    </row>
    <row r="16">
      <c r="A16" t="n">
        <v>6014</v>
      </c>
      <c r="B16" t="inlineStr">
        <is>
          <t>Cust_B</t>
        </is>
      </c>
      <c r="C16" s="13" t="n">
        <v>45619</v>
      </c>
      <c r="D16" s="13" t="n">
        <v>45664</v>
      </c>
      <c r="E16" t="inlineStr">
        <is>
          <t>JPY</t>
        </is>
      </c>
      <c r="F16" t="n">
        <v>175409</v>
      </c>
      <c r="G16" t="inlineStr">
        <is>
          <t>Overdue</t>
        </is>
      </c>
    </row>
    <row r="17">
      <c r="A17" t="n">
        <v>6015</v>
      </c>
      <c r="B17" t="inlineStr">
        <is>
          <t>Cust_D</t>
        </is>
      </c>
      <c r="C17" s="13" t="n">
        <v>45570</v>
      </c>
      <c r="D17" s="13" t="n">
        <v>45615</v>
      </c>
      <c r="E17" t="inlineStr">
        <is>
          <t>JPY</t>
        </is>
      </c>
      <c r="F17" t="n">
        <v>1075190</v>
      </c>
      <c r="G17" t="inlineStr">
        <is>
          <t>Paid</t>
        </is>
      </c>
      <c r="H17" s="13" t="n">
        <v>45632</v>
      </c>
    </row>
    <row r="18">
      <c r="A18" t="n">
        <v>6016</v>
      </c>
      <c r="B18" t="inlineStr">
        <is>
          <t>Cust_A</t>
        </is>
      </c>
      <c r="C18" s="13" t="n">
        <v>45485</v>
      </c>
      <c r="D18" s="13" t="n">
        <v>45530</v>
      </c>
      <c r="E18" t="inlineStr">
        <is>
          <t>EUR</t>
        </is>
      </c>
      <c r="F18" t="n">
        <v>29338.09</v>
      </c>
      <c r="G18" t="inlineStr">
        <is>
          <t>Paid</t>
        </is>
      </c>
      <c r="H18" s="13" t="n">
        <v>45536</v>
      </c>
    </row>
    <row r="19">
      <c r="A19" t="n">
        <v>6017</v>
      </c>
      <c r="B19" t="inlineStr">
        <is>
          <t>Cust_D</t>
        </is>
      </c>
      <c r="C19" s="13" t="n">
        <v>45423</v>
      </c>
      <c r="D19" s="13" t="n">
        <v>45468</v>
      </c>
      <c r="E19" t="inlineStr">
        <is>
          <t>EUR</t>
        </is>
      </c>
      <c r="F19" t="n">
        <v>10016.06</v>
      </c>
      <c r="G19" t="inlineStr">
        <is>
          <t>Overdue</t>
        </is>
      </c>
    </row>
    <row r="20">
      <c r="A20" t="n">
        <v>6018</v>
      </c>
      <c r="B20" t="inlineStr">
        <is>
          <t>Cust_A</t>
        </is>
      </c>
      <c r="C20" s="13" t="n">
        <v>45292</v>
      </c>
      <c r="D20" s="13" t="n">
        <v>45322</v>
      </c>
      <c r="E20" t="inlineStr">
        <is>
          <t>EUR</t>
        </is>
      </c>
      <c r="F20" t="n">
        <v>6703.28</v>
      </c>
      <c r="G20" t="inlineStr">
        <is>
          <t>Paid</t>
        </is>
      </c>
      <c r="H20" s="13" t="n">
        <v>45324</v>
      </c>
    </row>
    <row r="21">
      <c r="A21" t="n">
        <v>6019</v>
      </c>
      <c r="B21" t="inlineStr">
        <is>
          <t>Cust_D</t>
        </is>
      </c>
      <c r="C21" s="13" t="n">
        <v>45513</v>
      </c>
      <c r="D21" s="13" t="n">
        <v>45543</v>
      </c>
      <c r="E21" t="inlineStr">
        <is>
          <t>EUR</t>
        </is>
      </c>
      <c r="F21" t="n">
        <v>8232.68</v>
      </c>
      <c r="G21" t="inlineStr">
        <is>
          <t>Paid</t>
        </is>
      </c>
      <c r="H21" s="13" t="n">
        <v>45560</v>
      </c>
    </row>
    <row r="22">
      <c r="A22" t="n">
        <v>6020</v>
      </c>
      <c r="B22" t="inlineStr">
        <is>
          <t>Cust_C</t>
        </is>
      </c>
      <c r="C22" s="13" t="n">
        <v>45306</v>
      </c>
      <c r="D22" s="13" t="n">
        <v>45351</v>
      </c>
      <c r="E22" t="inlineStr">
        <is>
          <t>EUR</t>
        </is>
      </c>
      <c r="F22" t="n">
        <v>16552.14</v>
      </c>
      <c r="G22" t="inlineStr">
        <is>
          <t>Paid</t>
        </is>
      </c>
      <c r="H22" s="13" t="n">
        <v>45368</v>
      </c>
    </row>
    <row r="23">
      <c r="A23" t="n">
        <v>6021</v>
      </c>
      <c r="B23" t="inlineStr">
        <is>
          <t>Cust_D</t>
        </is>
      </c>
      <c r="C23" s="13" t="n">
        <v>45504</v>
      </c>
      <c r="D23" s="13" t="n">
        <v>45549</v>
      </c>
      <c r="E23" t="inlineStr">
        <is>
          <t>EUR</t>
        </is>
      </c>
      <c r="F23" t="n">
        <v>6220.55</v>
      </c>
      <c r="G23" t="inlineStr">
        <is>
          <t>Paid</t>
        </is>
      </c>
      <c r="H23" s="13" t="n">
        <v>45554</v>
      </c>
    </row>
    <row r="24">
      <c r="A24" t="n">
        <v>6022</v>
      </c>
      <c r="B24" t="inlineStr">
        <is>
          <t>Cust_A</t>
        </is>
      </c>
      <c r="C24" s="13" t="n">
        <v>45324</v>
      </c>
      <c r="D24" s="13" t="n">
        <v>45384</v>
      </c>
      <c r="E24" t="inlineStr">
        <is>
          <t>USD</t>
        </is>
      </c>
      <c r="F24" t="n">
        <v>2882.59</v>
      </c>
      <c r="G24" t="inlineStr">
        <is>
          <t>Paid</t>
        </is>
      </c>
      <c r="H24" s="13" t="n">
        <v>45391</v>
      </c>
    </row>
    <row r="25">
      <c r="A25" t="n">
        <v>6023</v>
      </c>
      <c r="B25" t="inlineStr">
        <is>
          <t>Cust_B</t>
        </is>
      </c>
      <c r="C25" s="13" t="n">
        <v>45613</v>
      </c>
      <c r="D25" s="13" t="n">
        <v>45643</v>
      </c>
      <c r="E25" t="inlineStr">
        <is>
          <t>EUR</t>
        </is>
      </c>
      <c r="F25" t="n">
        <v>15366.94</v>
      </c>
      <c r="G25" t="inlineStr">
        <is>
          <t>Paid</t>
        </is>
      </c>
      <c r="H25" s="13" t="n">
        <v>45652</v>
      </c>
    </row>
    <row r="26">
      <c r="A26" t="n">
        <v>6024</v>
      </c>
      <c r="B26" t="inlineStr">
        <is>
          <t>Cust_C</t>
        </is>
      </c>
      <c r="C26" s="13" t="n">
        <v>45627</v>
      </c>
      <c r="D26" s="13" t="n">
        <v>45672</v>
      </c>
      <c r="E26" t="inlineStr">
        <is>
          <t>EUR</t>
        </is>
      </c>
      <c r="F26" t="n">
        <v>4785.21</v>
      </c>
      <c r="G26" t="inlineStr">
        <is>
          <t>Paid</t>
        </is>
      </c>
      <c r="H26" s="13" t="n">
        <v>45676</v>
      </c>
    </row>
    <row r="27">
      <c r="A27" t="n">
        <v>6025</v>
      </c>
      <c r="B27" t="inlineStr">
        <is>
          <t>Cust_D</t>
        </is>
      </c>
      <c r="C27" s="13" t="n">
        <v>45556</v>
      </c>
      <c r="D27" s="13" t="n">
        <v>45586</v>
      </c>
      <c r="E27" t="inlineStr">
        <is>
          <t>EUR</t>
        </is>
      </c>
      <c r="F27" t="n">
        <v>7656.99</v>
      </c>
      <c r="G27" t="inlineStr">
        <is>
          <t>Open</t>
        </is>
      </c>
    </row>
    <row r="28">
      <c r="A28" t="n">
        <v>6026</v>
      </c>
      <c r="B28" t="inlineStr">
        <is>
          <t>Cust_C</t>
        </is>
      </c>
      <c r="C28" s="13" t="n">
        <v>45513</v>
      </c>
      <c r="D28" s="13" t="n">
        <v>45543</v>
      </c>
      <c r="E28" t="inlineStr">
        <is>
          <t>EUR</t>
        </is>
      </c>
      <c r="F28" t="n">
        <v>2727.57</v>
      </c>
      <c r="G28" t="inlineStr">
        <is>
          <t>Paid</t>
        </is>
      </c>
      <c r="H28" s="13" t="n">
        <v>45543</v>
      </c>
    </row>
    <row r="29">
      <c r="A29" t="n">
        <v>6027</v>
      </c>
      <c r="B29" t="inlineStr">
        <is>
          <t>Cust_D</t>
        </is>
      </c>
      <c r="C29" s="13" t="n">
        <v>45522</v>
      </c>
      <c r="D29" s="13" t="n">
        <v>45582</v>
      </c>
      <c r="E29" t="inlineStr">
        <is>
          <t>EUR</t>
        </is>
      </c>
      <c r="F29" t="n">
        <v>13045.65</v>
      </c>
      <c r="G29" t="inlineStr">
        <is>
          <t>Overdue</t>
        </is>
      </c>
    </row>
    <row r="30">
      <c r="A30" t="n">
        <v>6028</v>
      </c>
      <c r="B30" t="inlineStr">
        <is>
          <t>Cust_C</t>
        </is>
      </c>
      <c r="C30" s="13" t="n">
        <v>45447</v>
      </c>
      <c r="D30" s="13" t="n">
        <v>45492</v>
      </c>
      <c r="E30" t="inlineStr">
        <is>
          <t>EUR</t>
        </is>
      </c>
      <c r="F30" t="n">
        <v>7911.97</v>
      </c>
      <c r="G30" t="inlineStr">
        <is>
          <t>Paid</t>
        </is>
      </c>
      <c r="H30" s="13" t="n">
        <v>45508</v>
      </c>
    </row>
    <row r="31">
      <c r="A31" t="n">
        <v>6029</v>
      </c>
      <c r="B31" t="inlineStr">
        <is>
          <t>Cust_C</t>
        </is>
      </c>
      <c r="C31" s="13" t="n">
        <v>45556</v>
      </c>
      <c r="D31" s="13" t="n">
        <v>45616</v>
      </c>
      <c r="E31" t="inlineStr">
        <is>
          <t>EUR</t>
        </is>
      </c>
      <c r="F31" t="n">
        <v>4233.1</v>
      </c>
      <c r="G31" t="inlineStr">
        <is>
          <t>Paid</t>
        </is>
      </c>
      <c r="H31" s="13" t="n">
        <v>45619</v>
      </c>
    </row>
    <row r="32">
      <c r="A32" t="n">
        <v>6030</v>
      </c>
      <c r="B32" t="inlineStr">
        <is>
          <t>Cust_B</t>
        </is>
      </c>
      <c r="C32" s="13" t="n">
        <v>45407</v>
      </c>
      <c r="D32" s="13" t="n">
        <v>45467</v>
      </c>
      <c r="E32" t="inlineStr">
        <is>
          <t>EUR</t>
        </is>
      </c>
      <c r="F32" t="n">
        <v>5358.22</v>
      </c>
      <c r="G32" t="inlineStr">
        <is>
          <t>Paid</t>
        </is>
      </c>
      <c r="H32" s="13" t="n">
        <v>45483</v>
      </c>
    </row>
    <row r="33">
      <c r="A33" t="n">
        <v>6031</v>
      </c>
      <c r="B33" t="inlineStr">
        <is>
          <t>Cust_A</t>
        </is>
      </c>
      <c r="C33" s="13" t="n">
        <v>45396</v>
      </c>
      <c r="D33" s="13" t="n">
        <v>45441</v>
      </c>
      <c r="E33" t="inlineStr">
        <is>
          <t>EUR</t>
        </is>
      </c>
      <c r="F33" t="n">
        <v>7966.25</v>
      </c>
      <c r="G33" t="inlineStr">
        <is>
          <t>Paid</t>
        </is>
      </c>
      <c r="H33" s="13" t="n">
        <v>45457</v>
      </c>
    </row>
    <row r="34">
      <c r="A34" t="n">
        <v>6032</v>
      </c>
      <c r="B34" t="inlineStr">
        <is>
          <t>Cust_A</t>
        </is>
      </c>
      <c r="C34" s="13" t="n">
        <v>45392</v>
      </c>
      <c r="D34" s="13" t="n">
        <v>45452</v>
      </c>
      <c r="E34" t="inlineStr">
        <is>
          <t>EUR</t>
        </is>
      </c>
      <c r="F34" t="n">
        <v>3980.8</v>
      </c>
      <c r="G34" t="inlineStr">
        <is>
          <t>Overdue</t>
        </is>
      </c>
    </row>
    <row r="35">
      <c r="A35" t="n">
        <v>6033</v>
      </c>
      <c r="B35" t="inlineStr">
        <is>
          <t>Cust_A</t>
        </is>
      </c>
      <c r="C35" s="13" t="n">
        <v>45391</v>
      </c>
      <c r="D35" s="13" t="n">
        <v>45436</v>
      </c>
      <c r="E35" t="inlineStr">
        <is>
          <t>EUR</t>
        </is>
      </c>
      <c r="F35" t="n">
        <v>8924.33</v>
      </c>
      <c r="G35" t="inlineStr">
        <is>
          <t>Paid</t>
        </is>
      </c>
      <c r="H35" s="13" t="n">
        <v>45446</v>
      </c>
    </row>
    <row r="36">
      <c r="A36" t="n">
        <v>6034</v>
      </c>
      <c r="B36" t="inlineStr">
        <is>
          <t>Cust_B</t>
        </is>
      </c>
      <c r="C36" s="13" t="n">
        <v>45466</v>
      </c>
      <c r="D36" s="13" t="n">
        <v>45526</v>
      </c>
      <c r="E36" t="inlineStr">
        <is>
          <t>EUR</t>
        </is>
      </c>
      <c r="F36" t="n">
        <v>11012.96</v>
      </c>
      <c r="G36" t="inlineStr">
        <is>
          <t>Overdue</t>
        </is>
      </c>
    </row>
    <row r="37">
      <c r="A37" t="n">
        <v>6035</v>
      </c>
      <c r="B37" t="inlineStr">
        <is>
          <t>Cust_C</t>
        </is>
      </c>
      <c r="C37" s="13" t="n">
        <v>45539</v>
      </c>
      <c r="D37" s="13" t="n">
        <v>45584</v>
      </c>
      <c r="E37" t="inlineStr">
        <is>
          <t>EUR</t>
        </is>
      </c>
      <c r="F37" t="n">
        <v>5494.17</v>
      </c>
      <c r="G37" t="inlineStr">
        <is>
          <t>Open</t>
        </is>
      </c>
    </row>
    <row r="38">
      <c r="A38" t="n">
        <v>6036</v>
      </c>
      <c r="B38" t="inlineStr">
        <is>
          <t>Cust_B</t>
        </is>
      </c>
      <c r="C38" s="13" t="n">
        <v>45657</v>
      </c>
      <c r="D38" s="13" t="n">
        <v>45717</v>
      </c>
      <c r="E38" t="inlineStr">
        <is>
          <t>USD</t>
        </is>
      </c>
      <c r="F38" t="n">
        <v>7475.49</v>
      </c>
      <c r="G38" t="inlineStr">
        <is>
          <t>Paid</t>
        </is>
      </c>
      <c r="H38" s="13" t="n">
        <v>45724</v>
      </c>
    </row>
    <row r="39">
      <c r="A39" t="n">
        <v>6037</v>
      </c>
      <c r="B39" t="inlineStr">
        <is>
          <t>Cust_D</t>
        </is>
      </c>
      <c r="C39" s="13" t="n">
        <v>45604</v>
      </c>
      <c r="D39" s="13" t="n">
        <v>45664</v>
      </c>
      <c r="E39" t="inlineStr">
        <is>
          <t>EUR</t>
        </is>
      </c>
      <c r="F39" t="n">
        <v>23460.27</v>
      </c>
      <c r="G39" t="inlineStr">
        <is>
          <t>Open</t>
        </is>
      </c>
    </row>
    <row r="40">
      <c r="A40" t="n">
        <v>6038</v>
      </c>
      <c r="B40" t="inlineStr">
        <is>
          <t>Cust_D</t>
        </is>
      </c>
      <c r="C40" s="13" t="n">
        <v>45467</v>
      </c>
      <c r="D40" s="13" t="n">
        <v>45527</v>
      </c>
      <c r="E40" t="inlineStr">
        <is>
          <t>EUR</t>
        </is>
      </c>
      <c r="F40" t="n">
        <v>14338.9</v>
      </c>
      <c r="G40" t="inlineStr">
        <is>
          <t>Paid</t>
        </is>
      </c>
      <c r="H40" s="13" t="n">
        <v>45538</v>
      </c>
    </row>
    <row r="41">
      <c r="A41" t="n">
        <v>6039</v>
      </c>
      <c r="B41" t="inlineStr">
        <is>
          <t>Cust_D</t>
        </is>
      </c>
      <c r="C41" s="13" t="n">
        <v>45477</v>
      </c>
      <c r="D41" s="13" t="n">
        <v>45537</v>
      </c>
      <c r="E41" t="inlineStr">
        <is>
          <t>EUR</t>
        </is>
      </c>
      <c r="F41" t="n">
        <v>10243.3</v>
      </c>
      <c r="G41" t="inlineStr">
        <is>
          <t>Paid</t>
        </is>
      </c>
      <c r="H41" s="13" t="n">
        <v>45543</v>
      </c>
    </row>
    <row r="42">
      <c r="A42" t="n">
        <v>6040</v>
      </c>
      <c r="B42" t="inlineStr">
        <is>
          <t>Cust_D</t>
        </is>
      </c>
      <c r="C42" s="13" t="n">
        <v>45467</v>
      </c>
      <c r="D42" s="13" t="n">
        <v>45497</v>
      </c>
      <c r="E42" t="inlineStr">
        <is>
          <t>EUR</t>
        </is>
      </c>
      <c r="F42" t="n">
        <v>15321.2</v>
      </c>
      <c r="G42" t="inlineStr">
        <is>
          <t>Paid</t>
        </is>
      </c>
      <c r="H42" s="13" t="n">
        <v>45498</v>
      </c>
    </row>
    <row r="43">
      <c r="A43" t="n">
        <v>6041</v>
      </c>
      <c r="B43" t="inlineStr">
        <is>
          <t>Cust_D</t>
        </is>
      </c>
      <c r="C43" s="13" t="n">
        <v>45484</v>
      </c>
      <c r="D43" s="13" t="n">
        <v>45544</v>
      </c>
      <c r="E43" t="inlineStr">
        <is>
          <t>EUR</t>
        </is>
      </c>
      <c r="F43" t="n">
        <v>7184.64</v>
      </c>
      <c r="G43" t="inlineStr">
        <is>
          <t>Overdue</t>
        </is>
      </c>
    </row>
    <row r="44">
      <c r="A44" t="n">
        <v>6042</v>
      </c>
      <c r="B44" t="inlineStr">
        <is>
          <t>Cust_C</t>
        </is>
      </c>
      <c r="C44" s="13" t="n">
        <v>45480</v>
      </c>
      <c r="D44" s="13" t="n">
        <v>45510</v>
      </c>
      <c r="E44" t="inlineStr">
        <is>
          <t>JPY</t>
        </is>
      </c>
      <c r="F44" t="n">
        <v>415703</v>
      </c>
      <c r="G44" t="inlineStr">
        <is>
          <t>Paid</t>
        </is>
      </c>
      <c r="H44" s="13" t="n">
        <v>45518</v>
      </c>
    </row>
    <row r="45">
      <c r="A45" t="n">
        <v>6043</v>
      </c>
      <c r="B45" t="inlineStr">
        <is>
          <t>Cust_D</t>
        </is>
      </c>
      <c r="C45" s="13" t="n">
        <v>45320</v>
      </c>
      <c r="D45" s="13" t="n">
        <v>45365</v>
      </c>
      <c r="E45" t="inlineStr">
        <is>
          <t>EUR</t>
        </is>
      </c>
      <c r="F45" t="n">
        <v>5678.01</v>
      </c>
      <c r="G45" t="inlineStr">
        <is>
          <t>Paid</t>
        </is>
      </c>
      <c r="H45" s="13" t="n">
        <v>45368</v>
      </c>
    </row>
    <row r="46">
      <c r="A46" t="n">
        <v>6044</v>
      </c>
      <c r="B46" t="inlineStr">
        <is>
          <t>Cust_D</t>
        </is>
      </c>
      <c r="C46" s="13" t="n">
        <v>45585</v>
      </c>
      <c r="D46" s="13" t="n">
        <v>45645</v>
      </c>
      <c r="E46" t="inlineStr">
        <is>
          <t>EUR</t>
        </is>
      </c>
      <c r="F46" t="n">
        <v>12962.12</v>
      </c>
      <c r="G46" t="inlineStr">
        <is>
          <t>Paid</t>
        </is>
      </c>
      <c r="H46" s="13" t="n">
        <v>45653</v>
      </c>
    </row>
    <row r="47">
      <c r="A47" t="n">
        <v>6045</v>
      </c>
      <c r="B47" t="inlineStr">
        <is>
          <t>Cust_D</t>
        </is>
      </c>
      <c r="C47" s="13" t="n">
        <v>45580</v>
      </c>
      <c r="D47" s="13" t="n">
        <v>45640</v>
      </c>
      <c r="E47" t="inlineStr">
        <is>
          <t>EUR</t>
        </is>
      </c>
      <c r="F47" t="n">
        <v>1804.15</v>
      </c>
      <c r="G47" t="inlineStr">
        <is>
          <t>Overdue</t>
        </is>
      </c>
    </row>
    <row r="48">
      <c r="A48" t="n">
        <v>6046</v>
      </c>
      <c r="B48" t="inlineStr">
        <is>
          <t>Cust_B</t>
        </is>
      </c>
      <c r="C48" s="13" t="n">
        <v>45548</v>
      </c>
      <c r="D48" s="13" t="n">
        <v>45608</v>
      </c>
      <c r="E48" t="inlineStr">
        <is>
          <t>JPY</t>
        </is>
      </c>
      <c r="F48" t="n">
        <v>1172832</v>
      </c>
      <c r="G48" t="inlineStr">
        <is>
          <t>Paid</t>
        </is>
      </c>
      <c r="H48" s="13" t="n">
        <v>45609</v>
      </c>
    </row>
    <row r="49">
      <c r="A49" t="n">
        <v>6047</v>
      </c>
      <c r="B49" t="inlineStr">
        <is>
          <t>Cust_D</t>
        </is>
      </c>
      <c r="C49" s="13" t="n">
        <v>45355</v>
      </c>
      <c r="D49" s="13" t="n">
        <v>45385</v>
      </c>
      <c r="E49" t="inlineStr">
        <is>
          <t>EUR</t>
        </is>
      </c>
      <c r="F49" t="n">
        <v>3199.24</v>
      </c>
      <c r="G49" t="inlineStr">
        <is>
          <t>Paid</t>
        </is>
      </c>
      <c r="H49" s="13" t="n">
        <v>45389</v>
      </c>
    </row>
    <row r="50">
      <c r="A50" t="n">
        <v>6048</v>
      </c>
      <c r="B50" t="inlineStr">
        <is>
          <t>Cust_C</t>
        </is>
      </c>
      <c r="C50" s="13" t="n">
        <v>45565</v>
      </c>
      <c r="D50" s="13" t="n">
        <v>45595</v>
      </c>
      <c r="E50" t="inlineStr">
        <is>
          <t>EUR</t>
        </is>
      </c>
      <c r="F50" t="n">
        <v>3074.76</v>
      </c>
      <c r="G50" t="inlineStr">
        <is>
          <t>Paid</t>
        </is>
      </c>
      <c r="H50" s="13" t="n">
        <v>45605</v>
      </c>
    </row>
    <row r="51">
      <c r="A51" t="n">
        <v>6049</v>
      </c>
      <c r="B51" t="inlineStr">
        <is>
          <t>Cust_C</t>
        </is>
      </c>
      <c r="C51" s="13" t="n">
        <v>45405</v>
      </c>
      <c r="D51" s="13" t="n">
        <v>45465</v>
      </c>
      <c r="E51" t="inlineStr">
        <is>
          <t>USD</t>
        </is>
      </c>
      <c r="F51" t="n">
        <v>16749.34</v>
      </c>
      <c r="G51" t="inlineStr">
        <is>
          <t>Paid</t>
        </is>
      </c>
      <c r="H51" s="13" t="n">
        <v>45484</v>
      </c>
    </row>
    <row r="52">
      <c r="A52" t="n">
        <v>6050</v>
      </c>
      <c r="B52" t="inlineStr">
        <is>
          <t>Cust_B</t>
        </is>
      </c>
      <c r="C52" s="13" t="n">
        <v>45653</v>
      </c>
      <c r="D52" s="13" t="n">
        <v>45713</v>
      </c>
      <c r="E52" t="inlineStr">
        <is>
          <t>JPY</t>
        </is>
      </c>
      <c r="F52" t="n">
        <v>812206</v>
      </c>
      <c r="G52" t="inlineStr">
        <is>
          <t>Paid</t>
        </is>
      </c>
      <c r="H52" s="13" t="n">
        <v>45725</v>
      </c>
    </row>
    <row r="53">
      <c r="A53" t="n">
        <v>6051</v>
      </c>
      <c r="B53" t="inlineStr">
        <is>
          <t>Cust_C</t>
        </is>
      </c>
      <c r="C53" s="13" t="n">
        <v>45644</v>
      </c>
      <c r="D53" s="13" t="n">
        <v>45674</v>
      </c>
      <c r="E53" t="inlineStr">
        <is>
          <t>USD</t>
        </is>
      </c>
      <c r="F53" t="n">
        <v>17125.71</v>
      </c>
      <c r="G53" t="inlineStr">
        <is>
          <t>Paid</t>
        </is>
      </c>
      <c r="H53" s="13" t="n">
        <v>45687</v>
      </c>
    </row>
    <row r="54">
      <c r="A54" t="n">
        <v>6052</v>
      </c>
      <c r="B54" t="inlineStr">
        <is>
          <t>Cust_B</t>
        </is>
      </c>
      <c r="C54" s="13" t="n">
        <v>45509</v>
      </c>
      <c r="D54" s="13" t="n">
        <v>45539</v>
      </c>
      <c r="E54" t="inlineStr">
        <is>
          <t>EUR</t>
        </is>
      </c>
      <c r="F54" t="n">
        <v>5893.77</v>
      </c>
      <c r="G54" t="inlineStr">
        <is>
          <t>Paid</t>
        </is>
      </c>
      <c r="H54" s="13" t="n">
        <v>45544</v>
      </c>
    </row>
    <row r="55">
      <c r="A55" t="n">
        <v>6053</v>
      </c>
      <c r="B55" t="inlineStr">
        <is>
          <t>Cust_B</t>
        </is>
      </c>
      <c r="C55" s="13" t="n">
        <v>45315</v>
      </c>
      <c r="D55" s="13" t="n">
        <v>45360</v>
      </c>
      <c r="E55" t="inlineStr">
        <is>
          <t>EUR</t>
        </is>
      </c>
      <c r="F55" t="n">
        <v>3233.96</v>
      </c>
      <c r="G55" t="inlineStr">
        <is>
          <t>Open</t>
        </is>
      </c>
    </row>
    <row r="56">
      <c r="A56" t="n">
        <v>6054</v>
      </c>
      <c r="B56" t="inlineStr">
        <is>
          <t>Cust_A</t>
        </is>
      </c>
      <c r="C56" s="13" t="n">
        <v>45447</v>
      </c>
      <c r="D56" s="13" t="n">
        <v>45492</v>
      </c>
      <c r="E56" t="inlineStr">
        <is>
          <t>USD</t>
        </is>
      </c>
      <c r="F56" t="n">
        <v>21221.57</v>
      </c>
      <c r="G56" t="inlineStr">
        <is>
          <t>Paid</t>
        </is>
      </c>
      <c r="H56" s="13" t="n">
        <v>45501</v>
      </c>
    </row>
    <row r="57">
      <c r="A57" t="n">
        <v>6055</v>
      </c>
      <c r="B57" t="inlineStr">
        <is>
          <t>Cust_A</t>
        </is>
      </c>
      <c r="C57" s="13" t="n">
        <v>45344</v>
      </c>
      <c r="D57" s="13" t="n">
        <v>45389</v>
      </c>
      <c r="E57" t="inlineStr">
        <is>
          <t>EUR</t>
        </is>
      </c>
      <c r="F57" t="n">
        <v>13980.95</v>
      </c>
      <c r="G57" t="inlineStr">
        <is>
          <t>Paid</t>
        </is>
      </c>
      <c r="H57" s="13" t="n">
        <v>45395</v>
      </c>
    </row>
    <row r="58">
      <c r="A58" t="n">
        <v>6056</v>
      </c>
      <c r="B58" t="inlineStr">
        <is>
          <t>Cust_A</t>
        </is>
      </c>
      <c r="C58" s="13" t="n">
        <v>45617</v>
      </c>
      <c r="D58" s="13" t="n">
        <v>45662</v>
      </c>
      <c r="E58" t="inlineStr">
        <is>
          <t>EUR</t>
        </is>
      </c>
      <c r="F58" t="n">
        <v>8095.13</v>
      </c>
      <c r="G58" t="inlineStr">
        <is>
          <t>Open</t>
        </is>
      </c>
    </row>
    <row r="59">
      <c r="A59" t="n">
        <v>6057</v>
      </c>
      <c r="B59" t="inlineStr">
        <is>
          <t>Cust_C</t>
        </is>
      </c>
      <c r="C59" s="13" t="n">
        <v>45322</v>
      </c>
      <c r="D59" s="13" t="n">
        <v>45382</v>
      </c>
      <c r="E59" t="inlineStr">
        <is>
          <t>EUR</t>
        </is>
      </c>
      <c r="F59" t="n">
        <v>9055.16</v>
      </c>
      <c r="G59" t="inlineStr">
        <is>
          <t>Paid</t>
        </is>
      </c>
      <c r="H59" s="13" t="n">
        <v>45398</v>
      </c>
    </row>
    <row r="60">
      <c r="A60" t="n">
        <v>6058</v>
      </c>
      <c r="B60" t="inlineStr">
        <is>
          <t>Cust_B</t>
        </is>
      </c>
      <c r="C60" s="13" t="n">
        <v>45370</v>
      </c>
      <c r="D60" s="13" t="n">
        <v>45415</v>
      </c>
      <c r="E60" t="inlineStr">
        <is>
          <t>EUR</t>
        </is>
      </c>
      <c r="F60" t="n">
        <v>4110.18</v>
      </c>
      <c r="G60" t="inlineStr">
        <is>
          <t>Overdue</t>
        </is>
      </c>
    </row>
    <row r="61">
      <c r="A61" t="n">
        <v>6059</v>
      </c>
      <c r="B61" t="inlineStr">
        <is>
          <t>Cust_A</t>
        </is>
      </c>
      <c r="C61" s="13" t="n">
        <v>45311</v>
      </c>
      <c r="D61" s="13" t="n">
        <v>45341</v>
      </c>
      <c r="E61" t="inlineStr">
        <is>
          <t>JPY</t>
        </is>
      </c>
      <c r="F61" t="n">
        <v>1960494</v>
      </c>
      <c r="G61" t="inlineStr">
        <is>
          <t>Paid</t>
        </is>
      </c>
      <c r="H61" s="13" t="n">
        <v>45341</v>
      </c>
    </row>
    <row r="62">
      <c r="A62" t="n">
        <v>6060</v>
      </c>
      <c r="B62" t="inlineStr">
        <is>
          <t>Cust_D</t>
        </is>
      </c>
      <c r="C62" s="13" t="n">
        <v>45503</v>
      </c>
      <c r="D62" s="13" t="n">
        <v>45563</v>
      </c>
      <c r="E62" t="inlineStr">
        <is>
          <t>EUR</t>
        </is>
      </c>
      <c r="F62" t="n">
        <v>5998.79</v>
      </c>
      <c r="G62" t="inlineStr">
        <is>
          <t>Paid</t>
        </is>
      </c>
      <c r="H62" s="13" t="n">
        <v>45570</v>
      </c>
    </row>
    <row r="63">
      <c r="A63" t="n">
        <v>6061</v>
      </c>
      <c r="B63" t="inlineStr">
        <is>
          <t>Cust_C</t>
        </is>
      </c>
      <c r="C63" s="13" t="n">
        <v>45649</v>
      </c>
      <c r="D63" s="13" t="n">
        <v>45694</v>
      </c>
      <c r="E63" t="inlineStr">
        <is>
          <t>JPY</t>
        </is>
      </c>
      <c r="F63" t="n">
        <v>831343</v>
      </c>
      <c r="G63" t="inlineStr">
        <is>
          <t>Paid</t>
        </is>
      </c>
      <c r="H63" s="13" t="n">
        <v>45703</v>
      </c>
    </row>
    <row r="64">
      <c r="A64" t="n">
        <v>6062</v>
      </c>
      <c r="B64" t="inlineStr">
        <is>
          <t>Cust_D</t>
        </is>
      </c>
      <c r="C64" s="13" t="n">
        <v>45400</v>
      </c>
      <c r="D64" s="13" t="n">
        <v>45460</v>
      </c>
      <c r="E64" t="inlineStr">
        <is>
          <t>EUR</t>
        </is>
      </c>
      <c r="F64" t="n">
        <v>4787.21</v>
      </c>
      <c r="G64" t="inlineStr">
        <is>
          <t>Paid</t>
        </is>
      </c>
      <c r="H64" s="13" t="n">
        <v>45464</v>
      </c>
    </row>
    <row r="65">
      <c r="A65" t="n">
        <v>6063</v>
      </c>
      <c r="B65" t="inlineStr">
        <is>
          <t>Cust_D</t>
        </is>
      </c>
      <c r="C65" s="13" t="n">
        <v>45407</v>
      </c>
      <c r="D65" s="13" t="n">
        <v>45452</v>
      </c>
      <c r="E65" t="inlineStr">
        <is>
          <t>EUR</t>
        </is>
      </c>
      <c r="F65" t="n">
        <v>8728.84</v>
      </c>
      <c r="G65" t="inlineStr">
        <is>
          <t>Paid</t>
        </is>
      </c>
      <c r="H65" s="13" t="n">
        <v>45465</v>
      </c>
    </row>
    <row r="66">
      <c r="A66" t="n">
        <v>6064</v>
      </c>
      <c r="B66" t="inlineStr">
        <is>
          <t>Cust_D</t>
        </is>
      </c>
      <c r="C66" s="13" t="n">
        <v>45578</v>
      </c>
      <c r="D66" s="13" t="n">
        <v>45608</v>
      </c>
      <c r="E66" t="inlineStr">
        <is>
          <t>EUR</t>
        </is>
      </c>
      <c r="F66" t="n">
        <v>35587.89</v>
      </c>
      <c r="G66" t="inlineStr">
        <is>
          <t>Overdue</t>
        </is>
      </c>
    </row>
    <row r="67">
      <c r="A67" t="n">
        <v>6065</v>
      </c>
      <c r="B67" t="inlineStr">
        <is>
          <t>Cust_A</t>
        </is>
      </c>
      <c r="C67" s="13" t="n">
        <v>45313</v>
      </c>
      <c r="D67" s="13" t="n">
        <v>45358</v>
      </c>
      <c r="E67" t="inlineStr">
        <is>
          <t>EUR</t>
        </is>
      </c>
      <c r="F67" t="n">
        <v>7677.5</v>
      </c>
      <c r="G67" t="inlineStr">
        <is>
          <t>Open</t>
        </is>
      </c>
    </row>
    <row r="68">
      <c r="A68" t="n">
        <v>6066</v>
      </c>
      <c r="B68" t="inlineStr">
        <is>
          <t>Cust_A</t>
        </is>
      </c>
      <c r="C68" s="13" t="n">
        <v>45356</v>
      </c>
      <c r="D68" s="13" t="n">
        <v>45386</v>
      </c>
      <c r="E68" t="inlineStr">
        <is>
          <t>EUR</t>
        </is>
      </c>
      <c r="F68" t="n">
        <v>8244.51</v>
      </c>
      <c r="G68" t="inlineStr">
        <is>
          <t>Open</t>
        </is>
      </c>
    </row>
    <row r="69">
      <c r="A69" t="n">
        <v>6067</v>
      </c>
      <c r="B69" t="inlineStr">
        <is>
          <t>Cust_A</t>
        </is>
      </c>
      <c r="C69" s="13" t="n">
        <v>45519</v>
      </c>
      <c r="D69" s="13" t="n">
        <v>45579</v>
      </c>
      <c r="E69" t="inlineStr">
        <is>
          <t>EUR</t>
        </is>
      </c>
      <c r="F69" t="n">
        <v>3397.21</v>
      </c>
      <c r="G69" t="inlineStr">
        <is>
          <t>Paid</t>
        </is>
      </c>
      <c r="H69" s="13" t="n">
        <v>45591</v>
      </c>
    </row>
    <row r="70">
      <c r="A70" t="n">
        <v>6068</v>
      </c>
      <c r="B70" t="inlineStr">
        <is>
          <t>Cust_C</t>
        </is>
      </c>
      <c r="C70" s="13" t="n">
        <v>45346</v>
      </c>
      <c r="D70" s="13" t="n">
        <v>45406</v>
      </c>
      <c r="E70" t="inlineStr">
        <is>
          <t>EUR</t>
        </is>
      </c>
      <c r="F70" t="n">
        <v>6096.54</v>
      </c>
      <c r="G70" t="inlineStr">
        <is>
          <t>Open</t>
        </is>
      </c>
    </row>
    <row r="71">
      <c r="A71" t="n">
        <v>6069</v>
      </c>
      <c r="B71" t="inlineStr">
        <is>
          <t>Cust_B</t>
        </is>
      </c>
      <c r="C71" s="13" t="n">
        <v>45334</v>
      </c>
      <c r="D71" s="13" t="n">
        <v>45394</v>
      </c>
      <c r="E71" t="inlineStr">
        <is>
          <t>EUR</t>
        </is>
      </c>
      <c r="F71" t="n">
        <v>8826.23</v>
      </c>
      <c r="G71" t="inlineStr">
        <is>
          <t>Paid</t>
        </is>
      </c>
      <c r="H71" s="13" t="n">
        <v>45407</v>
      </c>
    </row>
    <row r="72">
      <c r="A72" t="n">
        <v>6070</v>
      </c>
      <c r="B72" t="inlineStr">
        <is>
          <t>Cust_C</t>
        </is>
      </c>
      <c r="C72" s="13" t="n">
        <v>45535</v>
      </c>
      <c r="D72" s="13" t="n">
        <v>45565</v>
      </c>
      <c r="E72" t="inlineStr">
        <is>
          <t>EUR</t>
        </is>
      </c>
      <c r="F72" t="n">
        <v>9757.559999999999</v>
      </c>
      <c r="G72" t="inlineStr">
        <is>
          <t>Paid</t>
        </is>
      </c>
      <c r="H72" s="13" t="n">
        <v>45567</v>
      </c>
    </row>
    <row r="73">
      <c r="A73" t="n">
        <v>6071</v>
      </c>
      <c r="B73" t="inlineStr">
        <is>
          <t>Cust_D</t>
        </is>
      </c>
      <c r="C73" s="13" t="n">
        <v>45308</v>
      </c>
      <c r="D73" s="13" t="n">
        <v>45338</v>
      </c>
      <c r="E73" t="inlineStr">
        <is>
          <t>EUR</t>
        </is>
      </c>
      <c r="F73" t="n">
        <v>2884.62</v>
      </c>
      <c r="G73" t="inlineStr">
        <is>
          <t>Paid</t>
        </is>
      </c>
      <c r="H73" s="13" t="n">
        <v>45344</v>
      </c>
    </row>
    <row r="74">
      <c r="A74" t="n">
        <v>6072</v>
      </c>
      <c r="B74" t="inlineStr">
        <is>
          <t>Cust_B</t>
        </is>
      </c>
      <c r="C74" s="13" t="n">
        <v>45322</v>
      </c>
      <c r="D74" s="13" t="n">
        <v>45352</v>
      </c>
      <c r="E74" t="inlineStr">
        <is>
          <t>EUR</t>
        </is>
      </c>
      <c r="F74" t="n">
        <v>20310.5</v>
      </c>
      <c r="G74" t="inlineStr">
        <is>
          <t>Paid</t>
        </is>
      </c>
      <c r="H74" s="13" t="n">
        <v>45354</v>
      </c>
    </row>
    <row r="75">
      <c r="A75" t="n">
        <v>6073</v>
      </c>
      <c r="B75" t="inlineStr">
        <is>
          <t>Cust_B</t>
        </is>
      </c>
      <c r="C75" s="13" t="n">
        <v>45634</v>
      </c>
      <c r="D75" s="13" t="n">
        <v>45664</v>
      </c>
      <c r="E75" t="inlineStr">
        <is>
          <t>EUR</t>
        </is>
      </c>
      <c r="F75" t="n">
        <v>9922.82</v>
      </c>
      <c r="G75" t="inlineStr">
        <is>
          <t>Overdue</t>
        </is>
      </c>
    </row>
    <row r="76">
      <c r="A76" t="n">
        <v>6074</v>
      </c>
      <c r="B76" t="inlineStr">
        <is>
          <t>Cust_A</t>
        </is>
      </c>
      <c r="C76" s="13" t="n">
        <v>45414</v>
      </c>
      <c r="D76" s="13" t="n">
        <v>45444</v>
      </c>
      <c r="E76" t="inlineStr">
        <is>
          <t>EUR</t>
        </is>
      </c>
      <c r="F76" t="n">
        <v>7027.58</v>
      </c>
      <c r="G76" t="inlineStr">
        <is>
          <t>Paid</t>
        </is>
      </c>
      <c r="H76" s="13" t="n">
        <v>45448</v>
      </c>
    </row>
    <row r="77">
      <c r="A77" t="n">
        <v>6075</v>
      </c>
      <c r="B77" t="inlineStr">
        <is>
          <t>Cust_B</t>
        </is>
      </c>
      <c r="C77" s="13" t="n">
        <v>45637</v>
      </c>
      <c r="D77" s="13" t="n">
        <v>45667</v>
      </c>
      <c r="E77" t="inlineStr">
        <is>
          <t>EUR</t>
        </is>
      </c>
      <c r="F77" t="n">
        <v>7108.62</v>
      </c>
      <c r="G77" t="inlineStr">
        <is>
          <t>Paid</t>
        </is>
      </c>
      <c r="H77" s="13" t="n">
        <v>45678</v>
      </c>
    </row>
    <row r="78">
      <c r="A78" t="n">
        <v>6076</v>
      </c>
      <c r="B78" t="inlineStr">
        <is>
          <t>Cust_C</t>
        </is>
      </c>
      <c r="C78" s="13" t="n">
        <v>45323</v>
      </c>
      <c r="D78" s="13" t="n">
        <v>45353</v>
      </c>
      <c r="E78" t="inlineStr">
        <is>
          <t>EUR</t>
        </is>
      </c>
      <c r="F78" t="n">
        <v>9924.440000000001</v>
      </c>
      <c r="G78" t="inlineStr">
        <is>
          <t>Paid</t>
        </is>
      </c>
      <c r="H78" s="13" t="n">
        <v>45360</v>
      </c>
    </row>
    <row r="79">
      <c r="A79" t="n">
        <v>6077</v>
      </c>
      <c r="B79" t="inlineStr">
        <is>
          <t>Cust_C</t>
        </is>
      </c>
      <c r="C79" s="13" t="n">
        <v>45412</v>
      </c>
      <c r="D79" s="13" t="n">
        <v>45442</v>
      </c>
      <c r="E79" t="inlineStr">
        <is>
          <t>EUR</t>
        </is>
      </c>
      <c r="F79" t="n">
        <v>19720.79</v>
      </c>
      <c r="G79" t="inlineStr">
        <is>
          <t>Paid</t>
        </is>
      </c>
      <c r="H79" s="13" t="n">
        <v>45461</v>
      </c>
    </row>
    <row r="80">
      <c r="A80" t="n">
        <v>6078</v>
      </c>
      <c r="B80" t="inlineStr">
        <is>
          <t>Cust_A</t>
        </is>
      </c>
      <c r="C80" s="13" t="n">
        <v>45507</v>
      </c>
      <c r="D80" s="13" t="n">
        <v>45567</v>
      </c>
      <c r="E80" t="inlineStr">
        <is>
          <t>EUR</t>
        </is>
      </c>
      <c r="F80" t="n">
        <v>4306.36</v>
      </c>
      <c r="G80" t="inlineStr">
        <is>
          <t>Paid</t>
        </is>
      </c>
      <c r="H80" s="13" t="n">
        <v>45580</v>
      </c>
    </row>
    <row r="81">
      <c r="A81" t="n">
        <v>6079</v>
      </c>
      <c r="B81" t="inlineStr">
        <is>
          <t>Cust_C</t>
        </is>
      </c>
      <c r="C81" s="13" t="n">
        <v>45600</v>
      </c>
      <c r="D81" s="13" t="n">
        <v>45645</v>
      </c>
      <c r="E81" t="inlineStr">
        <is>
          <t>EUR</t>
        </is>
      </c>
      <c r="F81" t="n">
        <v>18812.01</v>
      </c>
      <c r="G81" t="inlineStr">
        <is>
          <t>Paid</t>
        </is>
      </c>
      <c r="H81" s="13" t="n">
        <v>45645</v>
      </c>
    </row>
    <row r="82">
      <c r="A82" t="n">
        <v>6080</v>
      </c>
      <c r="B82" t="inlineStr">
        <is>
          <t>Cust_C</t>
        </is>
      </c>
      <c r="C82" s="13" t="n">
        <v>45551</v>
      </c>
      <c r="D82" s="13" t="n">
        <v>45581</v>
      </c>
      <c r="E82" t="inlineStr">
        <is>
          <t>EUR</t>
        </is>
      </c>
      <c r="F82" t="n">
        <v>14651.73</v>
      </c>
      <c r="G82" t="inlineStr">
        <is>
          <t>Paid</t>
        </is>
      </c>
      <c r="H82" s="13" t="n">
        <v>45586</v>
      </c>
    </row>
    <row r="83">
      <c r="A83" t="n">
        <v>6081</v>
      </c>
      <c r="B83" t="inlineStr">
        <is>
          <t>Cust_B</t>
        </is>
      </c>
      <c r="C83" s="13" t="n">
        <v>45519</v>
      </c>
      <c r="D83" s="13" t="n">
        <v>45549</v>
      </c>
      <c r="E83" t="inlineStr">
        <is>
          <t>EUR</t>
        </is>
      </c>
      <c r="F83" t="n">
        <v>14856.21</v>
      </c>
      <c r="G83" t="inlineStr">
        <is>
          <t>Overdue</t>
        </is>
      </c>
    </row>
    <row r="84">
      <c r="A84" t="n">
        <v>6082</v>
      </c>
      <c r="B84" t="inlineStr">
        <is>
          <t>Cust_D</t>
        </is>
      </c>
      <c r="C84" s="13" t="n">
        <v>45496</v>
      </c>
      <c r="D84" s="13" t="n">
        <v>45556</v>
      </c>
      <c r="E84" t="inlineStr">
        <is>
          <t>EUR</t>
        </is>
      </c>
      <c r="F84" t="n">
        <v>2252.36</v>
      </c>
      <c r="G84" t="inlineStr">
        <is>
          <t>Paid</t>
        </is>
      </c>
      <c r="H84" s="13" t="n">
        <v>45567</v>
      </c>
    </row>
    <row r="85">
      <c r="A85" t="n">
        <v>6083</v>
      </c>
      <c r="B85" t="inlineStr">
        <is>
          <t>Cust_B</t>
        </is>
      </c>
      <c r="C85" s="13" t="n">
        <v>45538</v>
      </c>
      <c r="D85" s="13" t="n">
        <v>45583</v>
      </c>
      <c r="E85" t="inlineStr">
        <is>
          <t>EUR</t>
        </is>
      </c>
      <c r="F85" t="n">
        <v>1827.74</v>
      </c>
      <c r="G85" t="inlineStr">
        <is>
          <t>Paid</t>
        </is>
      </c>
      <c r="H85" s="13" t="n">
        <v>45600</v>
      </c>
    </row>
    <row r="86">
      <c r="A86" t="n">
        <v>6084</v>
      </c>
      <c r="B86" t="inlineStr">
        <is>
          <t>Cust_B</t>
        </is>
      </c>
      <c r="C86" s="13" t="n">
        <v>45490</v>
      </c>
      <c r="D86" s="13" t="n">
        <v>45520</v>
      </c>
      <c r="E86" t="inlineStr">
        <is>
          <t>EUR</t>
        </is>
      </c>
      <c r="F86" t="n">
        <v>23424.58</v>
      </c>
      <c r="G86" t="inlineStr">
        <is>
          <t>Paid</t>
        </is>
      </c>
      <c r="H86" s="13" t="n">
        <v>45540</v>
      </c>
    </row>
    <row r="87">
      <c r="A87" t="n">
        <v>6085</v>
      </c>
      <c r="B87" t="inlineStr">
        <is>
          <t>Cust_A</t>
        </is>
      </c>
      <c r="C87" s="13" t="n">
        <v>45390</v>
      </c>
      <c r="D87" s="13" t="n">
        <v>45435</v>
      </c>
      <c r="E87" t="inlineStr">
        <is>
          <t>EUR</t>
        </is>
      </c>
      <c r="F87" t="n">
        <v>8291.17</v>
      </c>
      <c r="G87" t="inlineStr">
        <is>
          <t>Paid</t>
        </is>
      </c>
      <c r="H87" s="13" t="n">
        <v>45454</v>
      </c>
    </row>
    <row r="88">
      <c r="A88" t="n">
        <v>6086</v>
      </c>
      <c r="B88" t="inlineStr">
        <is>
          <t>Cust_C</t>
        </is>
      </c>
      <c r="C88" s="13" t="n">
        <v>45430</v>
      </c>
      <c r="D88" s="13" t="n">
        <v>45460</v>
      </c>
      <c r="E88" t="inlineStr">
        <is>
          <t>USD</t>
        </is>
      </c>
      <c r="F88" t="n">
        <v>9925.379999999999</v>
      </c>
      <c r="G88" t="inlineStr">
        <is>
          <t>Paid</t>
        </is>
      </c>
      <c r="H88" s="13" t="n">
        <v>45461</v>
      </c>
    </row>
    <row r="89">
      <c r="A89" t="n">
        <v>6087</v>
      </c>
      <c r="B89" t="inlineStr">
        <is>
          <t>Cust_A</t>
        </is>
      </c>
      <c r="C89" s="13" t="n">
        <v>45476</v>
      </c>
      <c r="D89" s="13" t="n">
        <v>45506</v>
      </c>
      <c r="E89" t="inlineStr">
        <is>
          <t>EUR</t>
        </is>
      </c>
      <c r="F89" t="n">
        <v>12520.06</v>
      </c>
      <c r="G89" t="inlineStr">
        <is>
          <t>Paid</t>
        </is>
      </c>
      <c r="H89" s="13" t="n">
        <v>45514</v>
      </c>
    </row>
    <row r="90">
      <c r="A90" t="n">
        <v>6088</v>
      </c>
      <c r="B90" t="inlineStr">
        <is>
          <t>Cust_C</t>
        </is>
      </c>
      <c r="C90" s="13" t="n">
        <v>45633</v>
      </c>
      <c r="D90" s="13" t="n">
        <v>45693</v>
      </c>
      <c r="E90" t="inlineStr">
        <is>
          <t>EUR</t>
        </is>
      </c>
      <c r="F90" t="n">
        <v>12348.64</v>
      </c>
      <c r="G90" t="inlineStr">
        <is>
          <t>Open</t>
        </is>
      </c>
    </row>
    <row r="91">
      <c r="A91" t="n">
        <v>6089</v>
      </c>
      <c r="B91" t="inlineStr">
        <is>
          <t>Cust_A</t>
        </is>
      </c>
      <c r="C91" s="13" t="n">
        <v>45618</v>
      </c>
      <c r="D91" s="13" t="n">
        <v>45678</v>
      </c>
      <c r="E91" t="inlineStr">
        <is>
          <t>EUR</t>
        </is>
      </c>
      <c r="F91" t="n">
        <v>9707.450000000001</v>
      </c>
      <c r="G91" t="inlineStr">
        <is>
          <t>Overdue</t>
        </is>
      </c>
    </row>
    <row r="92">
      <c r="A92" t="n">
        <v>6090</v>
      </c>
      <c r="B92" t="inlineStr">
        <is>
          <t>Cust_D</t>
        </is>
      </c>
      <c r="C92" s="13" t="n">
        <v>45339</v>
      </c>
      <c r="D92" s="13" t="n">
        <v>45369</v>
      </c>
      <c r="E92" t="inlineStr">
        <is>
          <t>EUR</t>
        </is>
      </c>
      <c r="F92" t="n">
        <v>11207.48</v>
      </c>
      <c r="G92" t="inlineStr">
        <is>
          <t>Overdue</t>
        </is>
      </c>
    </row>
    <row r="93">
      <c r="A93" t="n">
        <v>6091</v>
      </c>
      <c r="B93" t="inlineStr">
        <is>
          <t>Cust_D</t>
        </is>
      </c>
      <c r="C93" s="13" t="n">
        <v>45490</v>
      </c>
      <c r="D93" s="13" t="n">
        <v>45535</v>
      </c>
      <c r="E93" t="inlineStr">
        <is>
          <t>JPY</t>
        </is>
      </c>
      <c r="F93" t="n">
        <v>1241265</v>
      </c>
      <c r="G93" t="inlineStr">
        <is>
          <t>Paid</t>
        </is>
      </c>
      <c r="H93" s="13" t="n">
        <v>45539</v>
      </c>
    </row>
    <row r="94">
      <c r="A94" t="n">
        <v>6092</v>
      </c>
      <c r="B94" t="inlineStr">
        <is>
          <t>Cust_D</t>
        </is>
      </c>
      <c r="C94" s="13" t="n">
        <v>45292</v>
      </c>
      <c r="D94" s="13" t="n">
        <v>45337</v>
      </c>
      <c r="E94" t="inlineStr">
        <is>
          <t>EUR</t>
        </is>
      </c>
      <c r="F94" t="n">
        <v>3405.49</v>
      </c>
      <c r="G94" t="inlineStr">
        <is>
          <t>Open</t>
        </is>
      </c>
    </row>
    <row r="95">
      <c r="A95" t="n">
        <v>6093</v>
      </c>
      <c r="B95" t="inlineStr">
        <is>
          <t>Cust_D</t>
        </is>
      </c>
      <c r="C95" s="13" t="n">
        <v>45358</v>
      </c>
      <c r="D95" s="13" t="n">
        <v>45388</v>
      </c>
      <c r="E95" t="inlineStr">
        <is>
          <t>EUR</t>
        </is>
      </c>
      <c r="F95" t="n">
        <v>10155.54</v>
      </c>
      <c r="G95" t="inlineStr">
        <is>
          <t>Paid</t>
        </is>
      </c>
      <c r="H95" s="13" t="n">
        <v>45393</v>
      </c>
    </row>
    <row r="96">
      <c r="A96" t="n">
        <v>6094</v>
      </c>
      <c r="B96" t="inlineStr">
        <is>
          <t>Cust_D</t>
        </is>
      </c>
      <c r="C96" s="13" t="n">
        <v>45448</v>
      </c>
      <c r="D96" s="13" t="n">
        <v>45478</v>
      </c>
      <c r="E96" t="inlineStr">
        <is>
          <t>USD</t>
        </is>
      </c>
      <c r="F96" t="n">
        <v>16849.6</v>
      </c>
      <c r="G96" t="inlineStr">
        <is>
          <t>Paid</t>
        </is>
      </c>
      <c r="H96" s="13" t="n">
        <v>45496</v>
      </c>
    </row>
    <row r="97">
      <c r="A97" t="n">
        <v>6095</v>
      </c>
      <c r="B97" t="inlineStr">
        <is>
          <t>Cust_C</t>
        </is>
      </c>
      <c r="C97" s="13" t="n">
        <v>45428</v>
      </c>
      <c r="D97" s="13" t="n">
        <v>45488</v>
      </c>
      <c r="E97" t="inlineStr">
        <is>
          <t>EUR</t>
        </is>
      </c>
      <c r="F97" t="n">
        <v>6876.53</v>
      </c>
      <c r="G97" t="inlineStr">
        <is>
          <t>Paid</t>
        </is>
      </c>
      <c r="H97" s="13" t="n">
        <v>45494</v>
      </c>
    </row>
    <row r="98">
      <c r="A98" t="n">
        <v>6096</v>
      </c>
      <c r="B98" t="inlineStr">
        <is>
          <t>Cust_B</t>
        </is>
      </c>
      <c r="C98" s="13" t="n">
        <v>45451</v>
      </c>
      <c r="D98" s="13" t="n">
        <v>45511</v>
      </c>
      <c r="E98" t="inlineStr">
        <is>
          <t>EUR</t>
        </is>
      </c>
      <c r="F98" t="n">
        <v>22933.76</v>
      </c>
      <c r="G98" t="inlineStr">
        <is>
          <t>Paid</t>
        </is>
      </c>
      <c r="H98" s="13" t="n">
        <v>45511</v>
      </c>
    </row>
    <row r="99">
      <c r="A99" t="n">
        <v>6097</v>
      </c>
      <c r="B99" t="inlineStr">
        <is>
          <t>Cust_D</t>
        </is>
      </c>
      <c r="C99" s="13" t="n">
        <v>45449</v>
      </c>
      <c r="D99" s="13" t="n">
        <v>45494</v>
      </c>
      <c r="E99" t="inlineStr">
        <is>
          <t>USD</t>
        </is>
      </c>
      <c r="F99" t="n">
        <v>7423.71</v>
      </c>
      <c r="G99" t="inlineStr">
        <is>
          <t>Paid</t>
        </is>
      </c>
      <c r="H99" s="13" t="n">
        <v>45500</v>
      </c>
    </row>
    <row r="100">
      <c r="A100" t="n">
        <v>6098</v>
      </c>
      <c r="B100" t="inlineStr">
        <is>
          <t>Cust_B</t>
        </is>
      </c>
      <c r="C100" s="13" t="n">
        <v>45315</v>
      </c>
      <c r="D100" s="13" t="n">
        <v>45360</v>
      </c>
      <c r="E100" t="inlineStr">
        <is>
          <t>EUR</t>
        </is>
      </c>
      <c r="F100" t="n">
        <v>7420.96</v>
      </c>
      <c r="G100" t="inlineStr">
        <is>
          <t>Open</t>
        </is>
      </c>
    </row>
    <row r="101">
      <c r="A101" t="n">
        <v>6099</v>
      </c>
      <c r="B101" t="inlineStr">
        <is>
          <t>Cust_D</t>
        </is>
      </c>
      <c r="C101" s="13" t="n">
        <v>45379</v>
      </c>
      <c r="D101" s="13" t="n">
        <v>45439</v>
      </c>
      <c r="E101" t="inlineStr">
        <is>
          <t>EUR</t>
        </is>
      </c>
      <c r="F101" t="n">
        <v>1160.36</v>
      </c>
      <c r="G101" t="inlineStr">
        <is>
          <t>Paid</t>
        </is>
      </c>
      <c r="H101" s="13" t="n">
        <v>45441</v>
      </c>
    </row>
    <row r="102">
      <c r="A102" t="n">
        <v>6100</v>
      </c>
      <c r="B102" t="inlineStr">
        <is>
          <t>Cust_C</t>
        </is>
      </c>
      <c r="C102" s="13" t="n">
        <v>45588</v>
      </c>
      <c r="D102" s="13" t="n">
        <v>45618</v>
      </c>
      <c r="E102" t="inlineStr">
        <is>
          <t>EUR</t>
        </is>
      </c>
      <c r="F102" t="n">
        <v>4976.6</v>
      </c>
      <c r="G102" t="inlineStr">
        <is>
          <t>Paid</t>
        </is>
      </c>
      <c r="H102" s="13" t="n">
        <v>45631</v>
      </c>
    </row>
    <row r="103">
      <c r="A103" t="n">
        <v>6101</v>
      </c>
      <c r="B103" t="inlineStr">
        <is>
          <t>Cust_C</t>
        </is>
      </c>
      <c r="C103" s="13" t="n">
        <v>45330</v>
      </c>
      <c r="D103" s="13" t="n">
        <v>45360</v>
      </c>
      <c r="E103" t="inlineStr">
        <is>
          <t>EUR</t>
        </is>
      </c>
      <c r="F103" t="n">
        <v>9728.379999999999</v>
      </c>
      <c r="G103" t="inlineStr">
        <is>
          <t>Paid</t>
        </is>
      </c>
      <c r="H103" s="13" t="n">
        <v>45377</v>
      </c>
    </row>
    <row r="104">
      <c r="A104" t="n">
        <v>6102</v>
      </c>
      <c r="B104" t="inlineStr">
        <is>
          <t>Cust_A</t>
        </is>
      </c>
      <c r="C104" s="13" t="n">
        <v>45651</v>
      </c>
      <c r="D104" s="13" t="n">
        <v>45681</v>
      </c>
      <c r="E104" t="inlineStr">
        <is>
          <t>EUR</t>
        </is>
      </c>
      <c r="F104" t="n">
        <v>4891.01</v>
      </c>
      <c r="G104" t="inlineStr">
        <is>
          <t>Paid</t>
        </is>
      </c>
      <c r="H104" s="13" t="n">
        <v>45701</v>
      </c>
    </row>
    <row r="105">
      <c r="A105" t="n">
        <v>6103</v>
      </c>
      <c r="B105" t="inlineStr">
        <is>
          <t>Cust_D</t>
        </is>
      </c>
      <c r="C105" s="13" t="n">
        <v>45657</v>
      </c>
      <c r="D105" s="13" t="n">
        <v>45687</v>
      </c>
      <c r="E105" t="inlineStr">
        <is>
          <t>EUR</t>
        </is>
      </c>
      <c r="F105" t="n">
        <v>6186.96</v>
      </c>
      <c r="G105" t="inlineStr">
        <is>
          <t>Open</t>
        </is>
      </c>
    </row>
    <row r="106">
      <c r="A106" t="n">
        <v>6104</v>
      </c>
      <c r="B106" t="inlineStr">
        <is>
          <t>Cust_D</t>
        </is>
      </c>
      <c r="C106" s="13" t="n">
        <v>45607</v>
      </c>
      <c r="D106" s="13" t="n">
        <v>45652</v>
      </c>
      <c r="E106" t="inlineStr">
        <is>
          <t>EUR</t>
        </is>
      </c>
      <c r="F106" t="n">
        <v>4386.89</v>
      </c>
      <c r="G106" t="inlineStr">
        <is>
          <t>Paid</t>
        </is>
      </c>
      <c r="H106" s="13" t="n">
        <v>45664</v>
      </c>
    </row>
    <row r="107">
      <c r="A107" t="n">
        <v>6105</v>
      </c>
      <c r="B107" t="inlineStr">
        <is>
          <t>Cust_B</t>
        </is>
      </c>
      <c r="C107" s="13" t="n">
        <v>45628</v>
      </c>
      <c r="D107" s="13" t="n">
        <v>45688</v>
      </c>
      <c r="E107" t="inlineStr">
        <is>
          <t>EUR</t>
        </is>
      </c>
      <c r="F107" t="n">
        <v>5499.14</v>
      </c>
      <c r="G107" t="inlineStr">
        <is>
          <t>Paid</t>
        </is>
      </c>
      <c r="H107" s="13" t="n">
        <v>45692</v>
      </c>
    </row>
    <row r="108">
      <c r="A108" t="n">
        <v>6106</v>
      </c>
      <c r="B108" t="inlineStr">
        <is>
          <t>Cust_C</t>
        </is>
      </c>
      <c r="C108" s="13" t="n">
        <v>45653</v>
      </c>
      <c r="D108" s="13" t="n">
        <v>45713</v>
      </c>
      <c r="E108" t="inlineStr">
        <is>
          <t>EUR</t>
        </is>
      </c>
      <c r="F108" t="n">
        <v>5389.78</v>
      </c>
      <c r="G108" t="inlineStr">
        <is>
          <t>Paid</t>
        </is>
      </c>
      <c r="H108" s="13" t="n">
        <v>45726</v>
      </c>
    </row>
    <row r="109">
      <c r="A109" t="n">
        <v>6107</v>
      </c>
      <c r="B109" t="inlineStr">
        <is>
          <t>Cust_A</t>
        </is>
      </c>
      <c r="C109" s="13" t="n">
        <v>45437</v>
      </c>
      <c r="D109" s="13" t="n">
        <v>45482</v>
      </c>
      <c r="E109" t="inlineStr">
        <is>
          <t>EUR</t>
        </is>
      </c>
      <c r="F109" t="n">
        <v>14006.66</v>
      </c>
      <c r="G109" t="inlineStr">
        <is>
          <t>Paid</t>
        </is>
      </c>
      <c r="H109" s="13" t="n">
        <v>45499</v>
      </c>
    </row>
    <row r="110">
      <c r="A110" t="n">
        <v>6108</v>
      </c>
      <c r="B110" t="inlineStr">
        <is>
          <t>Cust_A</t>
        </is>
      </c>
      <c r="C110" s="13" t="n">
        <v>45293</v>
      </c>
      <c r="D110" s="13" t="n">
        <v>45353</v>
      </c>
      <c r="E110" t="inlineStr">
        <is>
          <t>EUR</t>
        </is>
      </c>
      <c r="F110" t="n">
        <v>10549.8</v>
      </c>
      <c r="G110" t="inlineStr">
        <is>
          <t>Paid</t>
        </is>
      </c>
      <c r="H110" s="13" t="n">
        <v>45372</v>
      </c>
    </row>
    <row r="111">
      <c r="A111" t="n">
        <v>6109</v>
      </c>
      <c r="B111" t="inlineStr">
        <is>
          <t>Cust_D</t>
        </is>
      </c>
      <c r="C111" s="13" t="n">
        <v>45524</v>
      </c>
      <c r="D111" s="13" t="n">
        <v>45584</v>
      </c>
      <c r="E111" t="inlineStr">
        <is>
          <t>EUR</t>
        </is>
      </c>
      <c r="F111" t="n">
        <v>4726.08</v>
      </c>
      <c r="G111" t="inlineStr">
        <is>
          <t>Open</t>
        </is>
      </c>
    </row>
    <row r="112">
      <c r="A112" t="n">
        <v>6110</v>
      </c>
      <c r="B112" t="inlineStr">
        <is>
          <t>Cust_C</t>
        </is>
      </c>
      <c r="C112" s="13" t="n">
        <v>45307</v>
      </c>
      <c r="D112" s="13" t="n">
        <v>45352</v>
      </c>
      <c r="E112" t="inlineStr">
        <is>
          <t>EUR</t>
        </is>
      </c>
      <c r="F112" t="n">
        <v>8093.36</v>
      </c>
      <c r="G112" t="inlineStr">
        <is>
          <t>Open</t>
        </is>
      </c>
    </row>
    <row r="113">
      <c r="A113" t="n">
        <v>6111</v>
      </c>
      <c r="B113" t="inlineStr">
        <is>
          <t>Cust_C</t>
        </is>
      </c>
      <c r="C113" s="13" t="n">
        <v>45623</v>
      </c>
      <c r="D113" s="13" t="n">
        <v>45683</v>
      </c>
      <c r="E113" t="inlineStr">
        <is>
          <t>EUR</t>
        </is>
      </c>
      <c r="F113" t="n">
        <v>17927.74</v>
      </c>
      <c r="G113" t="inlineStr">
        <is>
          <t>Paid</t>
        </is>
      </c>
      <c r="H113" s="13" t="n">
        <v>45701</v>
      </c>
    </row>
    <row r="114">
      <c r="A114" t="n">
        <v>6112</v>
      </c>
      <c r="B114" t="inlineStr">
        <is>
          <t>Cust_D</t>
        </is>
      </c>
      <c r="C114" s="13" t="n">
        <v>45393</v>
      </c>
      <c r="D114" s="13" t="n">
        <v>45423</v>
      </c>
      <c r="E114" t="inlineStr">
        <is>
          <t>EUR</t>
        </is>
      </c>
      <c r="F114" t="n">
        <v>2601.27</v>
      </c>
      <c r="G114" t="inlineStr">
        <is>
          <t>Paid</t>
        </is>
      </c>
      <c r="H114" s="13" t="n">
        <v>45426</v>
      </c>
    </row>
    <row r="115">
      <c r="A115" t="n">
        <v>6113</v>
      </c>
      <c r="B115" t="inlineStr">
        <is>
          <t>Cust_A</t>
        </is>
      </c>
      <c r="C115" s="13" t="n">
        <v>45482</v>
      </c>
      <c r="D115" s="13" t="n">
        <v>45527</v>
      </c>
      <c r="E115" t="inlineStr">
        <is>
          <t>EUR</t>
        </is>
      </c>
      <c r="F115" t="n">
        <v>10956.95</v>
      </c>
      <c r="G115" t="inlineStr">
        <is>
          <t>Open</t>
        </is>
      </c>
    </row>
    <row r="116">
      <c r="A116" t="n">
        <v>6114</v>
      </c>
      <c r="B116" t="inlineStr">
        <is>
          <t>Cust_D</t>
        </is>
      </c>
      <c r="C116" s="13" t="n">
        <v>45410</v>
      </c>
      <c r="D116" s="13" t="n">
        <v>45470</v>
      </c>
      <c r="E116" t="inlineStr">
        <is>
          <t>EUR</t>
        </is>
      </c>
      <c r="F116" t="n">
        <v>7002.58</v>
      </c>
      <c r="G116" t="inlineStr">
        <is>
          <t>Paid</t>
        </is>
      </c>
      <c r="H116" s="13" t="n">
        <v>45473</v>
      </c>
    </row>
    <row r="117">
      <c r="A117" t="n">
        <v>6115</v>
      </c>
      <c r="B117" t="inlineStr">
        <is>
          <t>Cust_D</t>
        </is>
      </c>
      <c r="C117" s="13" t="n">
        <v>45561</v>
      </c>
      <c r="D117" s="13" t="n">
        <v>45591</v>
      </c>
      <c r="E117" t="inlineStr">
        <is>
          <t>USD</t>
        </is>
      </c>
      <c r="F117" t="n">
        <v>1285.59</v>
      </c>
      <c r="G117" t="inlineStr">
        <is>
          <t>Open</t>
        </is>
      </c>
    </row>
    <row r="118">
      <c r="A118" t="n">
        <v>6116</v>
      </c>
      <c r="B118" t="inlineStr">
        <is>
          <t>Cust_C</t>
        </is>
      </c>
      <c r="C118" s="13" t="n">
        <v>45463</v>
      </c>
      <c r="D118" s="13" t="n">
        <v>45508</v>
      </c>
      <c r="E118" t="inlineStr">
        <is>
          <t>JPY</t>
        </is>
      </c>
      <c r="F118" t="n">
        <v>821223</v>
      </c>
      <c r="G118" t="inlineStr">
        <is>
          <t>Paid</t>
        </is>
      </c>
      <c r="H118" s="13" t="n">
        <v>45521</v>
      </c>
    </row>
    <row r="119">
      <c r="A119" t="n">
        <v>6117</v>
      </c>
      <c r="B119" t="inlineStr">
        <is>
          <t>Cust_B</t>
        </is>
      </c>
      <c r="C119" s="13" t="n">
        <v>45464</v>
      </c>
      <c r="D119" s="13" t="n">
        <v>45524</v>
      </c>
      <c r="E119" t="inlineStr">
        <is>
          <t>EUR</t>
        </is>
      </c>
      <c r="F119" t="n">
        <v>6788.5</v>
      </c>
      <c r="G119" t="inlineStr">
        <is>
          <t>Paid</t>
        </is>
      </c>
      <c r="H119" s="13" t="n">
        <v>45525</v>
      </c>
    </row>
    <row r="120">
      <c r="A120" t="n">
        <v>6118</v>
      </c>
      <c r="B120" t="inlineStr">
        <is>
          <t>Cust_B</t>
        </is>
      </c>
      <c r="C120" s="13" t="n">
        <v>45480</v>
      </c>
      <c r="D120" s="13" t="n">
        <v>45510</v>
      </c>
      <c r="E120" t="inlineStr">
        <is>
          <t>EUR</t>
        </is>
      </c>
      <c r="F120" t="n">
        <v>6314.84</v>
      </c>
      <c r="G120" t="inlineStr">
        <is>
          <t>Open</t>
        </is>
      </c>
    </row>
    <row r="121">
      <c r="A121" t="n">
        <v>6119</v>
      </c>
      <c r="B121" t="inlineStr">
        <is>
          <t>Cust_B</t>
        </is>
      </c>
      <c r="C121" s="13" t="n">
        <v>45642</v>
      </c>
      <c r="D121" s="13" t="n">
        <v>45702</v>
      </c>
      <c r="E121" t="inlineStr">
        <is>
          <t>EUR</t>
        </is>
      </c>
      <c r="F121" t="n">
        <v>14982.58</v>
      </c>
      <c r="G121" t="inlineStr">
        <is>
          <t>Open</t>
        </is>
      </c>
    </row>
    <row r="122">
      <c r="A122" t="n">
        <v>6120</v>
      </c>
      <c r="B122" t="inlineStr">
        <is>
          <t>Cust_A</t>
        </is>
      </c>
      <c r="C122" s="13" t="n">
        <v>45552</v>
      </c>
      <c r="D122" s="13" t="n">
        <v>45612</v>
      </c>
      <c r="E122" t="inlineStr">
        <is>
          <t>EUR</t>
        </is>
      </c>
      <c r="F122" t="n">
        <v>3388.11</v>
      </c>
      <c r="G122" t="inlineStr">
        <is>
          <t>Overdue</t>
        </is>
      </c>
    </row>
    <row r="123">
      <c r="A123" t="n">
        <v>6121</v>
      </c>
      <c r="B123" t="inlineStr">
        <is>
          <t>Cust_D</t>
        </is>
      </c>
      <c r="C123" s="13" t="n">
        <v>45532</v>
      </c>
      <c r="D123" s="13" t="n">
        <v>45562</v>
      </c>
      <c r="E123" t="inlineStr">
        <is>
          <t>EUR</t>
        </is>
      </c>
      <c r="F123" t="n">
        <v>2995.89</v>
      </c>
      <c r="G123" t="inlineStr">
        <is>
          <t>Overdue</t>
        </is>
      </c>
    </row>
    <row r="124">
      <c r="A124" t="n">
        <v>6122</v>
      </c>
      <c r="B124" t="inlineStr">
        <is>
          <t>Cust_D</t>
        </is>
      </c>
      <c r="C124" s="13" t="n">
        <v>45407</v>
      </c>
      <c r="D124" s="13" t="n">
        <v>45437</v>
      </c>
      <c r="E124" t="inlineStr">
        <is>
          <t>EUR</t>
        </is>
      </c>
      <c r="F124" t="n">
        <v>4478.85</v>
      </c>
      <c r="G124" t="inlineStr">
        <is>
          <t>Open</t>
        </is>
      </c>
    </row>
    <row r="125">
      <c r="A125" t="n">
        <v>6123</v>
      </c>
      <c r="B125" t="inlineStr">
        <is>
          <t>Cust_A</t>
        </is>
      </c>
      <c r="C125" s="13" t="n">
        <v>45494</v>
      </c>
      <c r="D125" s="13" t="n">
        <v>45539</v>
      </c>
      <c r="E125" t="inlineStr">
        <is>
          <t>EUR</t>
        </is>
      </c>
      <c r="F125" t="n">
        <v>16432.5</v>
      </c>
      <c r="G125" t="inlineStr">
        <is>
          <t>Paid</t>
        </is>
      </c>
      <c r="H125" s="13" t="n">
        <v>45552</v>
      </c>
    </row>
    <row r="126">
      <c r="A126" t="n">
        <v>6124</v>
      </c>
      <c r="B126" t="inlineStr">
        <is>
          <t>Cust_C</t>
        </is>
      </c>
      <c r="C126" s="13" t="n">
        <v>45459</v>
      </c>
      <c r="D126" s="13" t="n">
        <v>45504</v>
      </c>
      <c r="E126" t="inlineStr">
        <is>
          <t>EUR</t>
        </is>
      </c>
      <c r="F126" t="n">
        <v>8535.030000000001</v>
      </c>
      <c r="G126" t="inlineStr">
        <is>
          <t>Paid</t>
        </is>
      </c>
      <c r="H126" s="13" t="n">
        <v>45515</v>
      </c>
    </row>
    <row r="127">
      <c r="A127" t="n">
        <v>6125</v>
      </c>
      <c r="B127" t="inlineStr">
        <is>
          <t>Cust_D</t>
        </is>
      </c>
      <c r="C127" s="13" t="n">
        <v>45456</v>
      </c>
      <c r="D127" s="13" t="n">
        <v>45486</v>
      </c>
      <c r="E127" t="inlineStr">
        <is>
          <t>JPY</t>
        </is>
      </c>
      <c r="F127" t="n">
        <v>782929</v>
      </c>
      <c r="G127" t="inlineStr">
        <is>
          <t>Paid</t>
        </is>
      </c>
      <c r="H127" s="13" t="n">
        <v>45503</v>
      </c>
    </row>
    <row r="128">
      <c r="A128" t="n">
        <v>6126</v>
      </c>
      <c r="B128" t="inlineStr">
        <is>
          <t>Cust_B</t>
        </is>
      </c>
      <c r="C128" s="13" t="n">
        <v>45593</v>
      </c>
      <c r="D128" s="13" t="n">
        <v>45653</v>
      </c>
      <c r="E128" t="inlineStr">
        <is>
          <t>EUR</t>
        </is>
      </c>
      <c r="F128" t="n">
        <v>10859.88</v>
      </c>
      <c r="G128" t="inlineStr">
        <is>
          <t>Paid</t>
        </is>
      </c>
      <c r="H128" s="13" t="n">
        <v>45658</v>
      </c>
    </row>
    <row r="129">
      <c r="A129" t="n">
        <v>6127</v>
      </c>
      <c r="B129" t="inlineStr">
        <is>
          <t>Cust_D</t>
        </is>
      </c>
      <c r="C129" s="13" t="n">
        <v>45626</v>
      </c>
      <c r="D129" s="13" t="n">
        <v>45671</v>
      </c>
      <c r="E129" t="inlineStr">
        <is>
          <t>EUR</t>
        </is>
      </c>
      <c r="F129" t="n">
        <v>12113.19</v>
      </c>
      <c r="G129" t="inlineStr">
        <is>
          <t>Paid</t>
        </is>
      </c>
      <c r="H129" s="13" t="n">
        <v>45686</v>
      </c>
    </row>
    <row r="130">
      <c r="A130" t="n">
        <v>6128</v>
      </c>
      <c r="B130" t="inlineStr">
        <is>
          <t>Cust_C</t>
        </is>
      </c>
      <c r="C130" s="13" t="n">
        <v>45619</v>
      </c>
      <c r="D130" s="13" t="n">
        <v>45649</v>
      </c>
      <c r="E130" t="inlineStr">
        <is>
          <t>EUR</t>
        </is>
      </c>
      <c r="F130" t="n">
        <v>9706.209999999999</v>
      </c>
      <c r="G130" t="inlineStr">
        <is>
          <t>Paid</t>
        </is>
      </c>
      <c r="H130" s="13" t="n">
        <v>45653</v>
      </c>
    </row>
    <row r="131">
      <c r="A131" t="n">
        <v>6129</v>
      </c>
      <c r="B131" t="inlineStr">
        <is>
          <t>Cust_A</t>
        </is>
      </c>
      <c r="C131" s="13" t="n">
        <v>45474</v>
      </c>
      <c r="D131" s="13" t="n">
        <v>45534</v>
      </c>
      <c r="E131" t="inlineStr">
        <is>
          <t>EUR</t>
        </is>
      </c>
      <c r="F131" t="n">
        <v>11502.41</v>
      </c>
      <c r="G131" t="inlineStr">
        <is>
          <t>Paid</t>
        </is>
      </c>
      <c r="H131" s="13" t="n">
        <v>45540</v>
      </c>
    </row>
    <row r="132">
      <c r="A132" t="n">
        <v>6130</v>
      </c>
      <c r="B132" t="inlineStr">
        <is>
          <t>Cust_D</t>
        </is>
      </c>
      <c r="C132" s="13" t="n">
        <v>45352</v>
      </c>
      <c r="D132" s="13" t="n">
        <v>45412</v>
      </c>
      <c r="E132" t="inlineStr">
        <is>
          <t>EUR</t>
        </is>
      </c>
      <c r="F132" t="n">
        <v>1710.42</v>
      </c>
      <c r="G132" t="inlineStr">
        <is>
          <t>Paid</t>
        </is>
      </c>
      <c r="H132" s="13" t="n">
        <v>45431</v>
      </c>
    </row>
    <row r="133">
      <c r="A133" t="n">
        <v>6131</v>
      </c>
      <c r="B133" t="inlineStr">
        <is>
          <t>Cust_B</t>
        </is>
      </c>
      <c r="C133" s="13" t="n">
        <v>45555</v>
      </c>
      <c r="D133" s="13" t="n">
        <v>45600</v>
      </c>
      <c r="E133" t="inlineStr">
        <is>
          <t>EUR</t>
        </is>
      </c>
      <c r="F133" t="n">
        <v>3060.17</v>
      </c>
      <c r="G133" t="inlineStr">
        <is>
          <t>Paid</t>
        </is>
      </c>
      <c r="H133" s="13" t="n">
        <v>45606</v>
      </c>
    </row>
    <row r="134">
      <c r="A134" t="n">
        <v>6132</v>
      </c>
      <c r="B134" t="inlineStr">
        <is>
          <t>Cust_A</t>
        </is>
      </c>
      <c r="C134" s="13" t="n">
        <v>45470</v>
      </c>
      <c r="D134" s="13" t="n">
        <v>45500</v>
      </c>
      <c r="E134" t="inlineStr">
        <is>
          <t>EUR</t>
        </is>
      </c>
      <c r="F134" t="n">
        <v>10058.23</v>
      </c>
      <c r="G134" t="inlineStr">
        <is>
          <t>Paid</t>
        </is>
      </c>
      <c r="H134" s="13" t="n">
        <v>45515</v>
      </c>
    </row>
    <row r="135">
      <c r="A135" t="n">
        <v>6133</v>
      </c>
      <c r="B135" t="inlineStr">
        <is>
          <t>Cust_A</t>
        </is>
      </c>
      <c r="C135" s="13" t="n">
        <v>45494</v>
      </c>
      <c r="D135" s="13" t="n">
        <v>45524</v>
      </c>
      <c r="E135" t="inlineStr">
        <is>
          <t>EUR</t>
        </is>
      </c>
      <c r="F135" t="n">
        <v>3177.15</v>
      </c>
      <c r="G135" t="inlineStr">
        <is>
          <t>Overdue</t>
        </is>
      </c>
    </row>
    <row r="136">
      <c r="A136" t="n">
        <v>6134</v>
      </c>
      <c r="B136" t="inlineStr">
        <is>
          <t>Cust_B</t>
        </is>
      </c>
      <c r="C136" s="13" t="n">
        <v>45392</v>
      </c>
      <c r="D136" s="13" t="n">
        <v>45437</v>
      </c>
      <c r="E136" t="inlineStr">
        <is>
          <t>EUR</t>
        </is>
      </c>
      <c r="F136" t="n">
        <v>11239.95</v>
      </c>
      <c r="G136" t="inlineStr">
        <is>
          <t>Paid</t>
        </is>
      </c>
      <c r="H136" s="13" t="n">
        <v>45442</v>
      </c>
    </row>
    <row r="137">
      <c r="A137" t="n">
        <v>6135</v>
      </c>
      <c r="B137" t="inlineStr">
        <is>
          <t>Cust_D</t>
        </is>
      </c>
      <c r="C137" s="13" t="n">
        <v>45334</v>
      </c>
      <c r="D137" s="13" t="n">
        <v>45364</v>
      </c>
      <c r="E137" t="inlineStr">
        <is>
          <t>EUR</t>
        </is>
      </c>
      <c r="F137" t="n">
        <v>18736.37</v>
      </c>
      <c r="G137" t="inlineStr">
        <is>
          <t>Paid</t>
        </is>
      </c>
      <c r="H137" s="13" t="n">
        <v>45378</v>
      </c>
    </row>
    <row r="138">
      <c r="A138" t="n">
        <v>6136</v>
      </c>
      <c r="B138" t="inlineStr">
        <is>
          <t>Cust_D</t>
        </is>
      </c>
      <c r="C138" s="13" t="n">
        <v>45521</v>
      </c>
      <c r="D138" s="13" t="n">
        <v>45581</v>
      </c>
      <c r="E138" t="inlineStr">
        <is>
          <t>EUR</t>
        </is>
      </c>
      <c r="F138" t="n">
        <v>7707.33</v>
      </c>
      <c r="G138" t="inlineStr">
        <is>
          <t>Paid</t>
        </is>
      </c>
      <c r="H138" s="13" t="n">
        <v>45590</v>
      </c>
    </row>
    <row r="139">
      <c r="A139" t="n">
        <v>6137</v>
      </c>
      <c r="B139" t="inlineStr">
        <is>
          <t>Cust_B</t>
        </is>
      </c>
      <c r="C139" s="13" t="n">
        <v>45484</v>
      </c>
      <c r="D139" s="13" t="n">
        <v>45544</v>
      </c>
      <c r="E139" t="inlineStr">
        <is>
          <t>EUR</t>
        </is>
      </c>
      <c r="F139" t="n">
        <v>3387.63</v>
      </c>
      <c r="G139" t="inlineStr">
        <is>
          <t>Paid</t>
        </is>
      </c>
      <c r="H139" s="13" t="n">
        <v>45554</v>
      </c>
    </row>
    <row r="140">
      <c r="A140" t="n">
        <v>6138</v>
      </c>
      <c r="B140" t="inlineStr">
        <is>
          <t>Cust_B</t>
        </is>
      </c>
      <c r="C140" s="13" t="n">
        <v>45353</v>
      </c>
      <c r="D140" s="13" t="n">
        <v>45383</v>
      </c>
      <c r="E140" t="inlineStr">
        <is>
          <t>EUR</t>
        </is>
      </c>
      <c r="F140" t="n">
        <v>8420.93</v>
      </c>
      <c r="G140" t="inlineStr">
        <is>
          <t>Paid</t>
        </is>
      </c>
      <c r="H140" s="13" t="n">
        <v>45384</v>
      </c>
    </row>
    <row r="141">
      <c r="A141" t="n">
        <v>6139</v>
      </c>
      <c r="B141" t="inlineStr">
        <is>
          <t>Cust_D</t>
        </is>
      </c>
      <c r="C141" s="13" t="n">
        <v>45438</v>
      </c>
      <c r="D141" s="13" t="n">
        <v>45483</v>
      </c>
      <c r="E141" t="inlineStr">
        <is>
          <t>EUR</t>
        </is>
      </c>
      <c r="F141" t="n">
        <v>7702.01</v>
      </c>
      <c r="G141" t="inlineStr">
        <is>
          <t>Paid</t>
        </is>
      </c>
      <c r="H141" s="13" t="n">
        <v>45502</v>
      </c>
    </row>
    <row r="142">
      <c r="A142" t="n">
        <v>6140</v>
      </c>
      <c r="B142" t="inlineStr">
        <is>
          <t>Cust_D</t>
        </is>
      </c>
      <c r="C142" s="13" t="n">
        <v>45476</v>
      </c>
      <c r="D142" s="13" t="n">
        <v>45506</v>
      </c>
      <c r="E142" t="inlineStr">
        <is>
          <t>EUR</t>
        </is>
      </c>
      <c r="F142" t="n">
        <v>6573.52</v>
      </c>
      <c r="G142" t="inlineStr">
        <is>
          <t>Open</t>
        </is>
      </c>
    </row>
    <row r="143">
      <c r="A143" t="n">
        <v>6141</v>
      </c>
      <c r="B143" t="inlineStr">
        <is>
          <t>Cust_B</t>
        </is>
      </c>
      <c r="C143" s="13" t="n">
        <v>45371</v>
      </c>
      <c r="D143" s="13" t="n">
        <v>45401</v>
      </c>
      <c r="E143" t="inlineStr">
        <is>
          <t>EUR</t>
        </is>
      </c>
      <c r="F143" t="n">
        <v>8099.77</v>
      </c>
      <c r="G143" t="inlineStr">
        <is>
          <t>Paid</t>
        </is>
      </c>
      <c r="H143" s="13" t="n">
        <v>45418</v>
      </c>
    </row>
    <row r="144">
      <c r="A144" t="n">
        <v>6142</v>
      </c>
      <c r="B144" t="inlineStr">
        <is>
          <t>Cust_D</t>
        </is>
      </c>
      <c r="C144" s="13" t="n">
        <v>45451</v>
      </c>
      <c r="D144" s="13" t="n">
        <v>45481</v>
      </c>
      <c r="E144" t="inlineStr">
        <is>
          <t>EUR</t>
        </is>
      </c>
      <c r="F144" t="n">
        <v>13809.07</v>
      </c>
      <c r="G144" t="inlineStr">
        <is>
          <t>Paid</t>
        </is>
      </c>
      <c r="H144" s="13" t="n">
        <v>45491</v>
      </c>
    </row>
    <row r="145">
      <c r="A145" t="n">
        <v>6143</v>
      </c>
      <c r="B145" t="inlineStr">
        <is>
          <t>Cust_D</t>
        </is>
      </c>
      <c r="C145" s="13" t="n">
        <v>45612</v>
      </c>
      <c r="D145" s="13" t="n">
        <v>45657</v>
      </c>
      <c r="E145" t="inlineStr">
        <is>
          <t>EUR</t>
        </is>
      </c>
      <c r="F145" t="n">
        <v>11819.58</v>
      </c>
      <c r="G145" t="inlineStr">
        <is>
          <t>Open</t>
        </is>
      </c>
    </row>
    <row r="146">
      <c r="A146" t="n">
        <v>6144</v>
      </c>
      <c r="B146" t="inlineStr">
        <is>
          <t>Cust_A</t>
        </is>
      </c>
      <c r="C146" s="13" t="n">
        <v>45442</v>
      </c>
      <c r="D146" s="13" t="n">
        <v>45472</v>
      </c>
      <c r="E146" t="inlineStr">
        <is>
          <t>EUR</t>
        </is>
      </c>
      <c r="F146" t="n">
        <v>5876.2</v>
      </c>
      <c r="G146" t="inlineStr">
        <is>
          <t>Open</t>
        </is>
      </c>
    </row>
    <row r="147">
      <c r="A147" t="n">
        <v>6145</v>
      </c>
      <c r="B147" t="inlineStr">
        <is>
          <t>Cust_B</t>
        </is>
      </c>
      <c r="C147" s="13" t="n">
        <v>45604</v>
      </c>
      <c r="D147" s="13" t="n">
        <v>45649</v>
      </c>
      <c r="E147" t="inlineStr">
        <is>
          <t>EUR</t>
        </is>
      </c>
      <c r="F147" t="n">
        <v>1860.23</v>
      </c>
      <c r="G147" t="inlineStr">
        <is>
          <t>Paid</t>
        </is>
      </c>
      <c r="H147" s="13" t="n">
        <v>45665</v>
      </c>
    </row>
    <row r="148">
      <c r="A148" t="n">
        <v>6146</v>
      </c>
      <c r="B148" t="inlineStr">
        <is>
          <t>Cust_D</t>
        </is>
      </c>
      <c r="C148" s="13" t="n">
        <v>45411</v>
      </c>
      <c r="D148" s="13" t="n">
        <v>45441</v>
      </c>
      <c r="E148" t="inlineStr">
        <is>
          <t>EUR</t>
        </is>
      </c>
      <c r="F148" t="n">
        <v>1840.51</v>
      </c>
      <c r="G148" t="inlineStr">
        <is>
          <t>Paid</t>
        </is>
      </c>
      <c r="H148" s="13" t="n">
        <v>45457</v>
      </c>
    </row>
    <row r="149">
      <c r="A149" t="n">
        <v>6147</v>
      </c>
      <c r="B149" t="inlineStr">
        <is>
          <t>Cust_B</t>
        </is>
      </c>
      <c r="C149" s="13" t="n">
        <v>45638</v>
      </c>
      <c r="D149" s="13" t="n">
        <v>45698</v>
      </c>
      <c r="E149" t="inlineStr">
        <is>
          <t>EUR</t>
        </is>
      </c>
      <c r="F149" t="n">
        <v>7164.41</v>
      </c>
      <c r="G149" t="inlineStr">
        <is>
          <t>Paid</t>
        </is>
      </c>
      <c r="H149" s="13" t="n">
        <v>45707</v>
      </c>
    </row>
    <row r="150">
      <c r="A150" t="n">
        <v>6148</v>
      </c>
      <c r="B150" t="inlineStr">
        <is>
          <t>Cust_D</t>
        </is>
      </c>
      <c r="C150" s="13" t="n">
        <v>45558</v>
      </c>
      <c r="D150" s="13" t="n">
        <v>45588</v>
      </c>
      <c r="E150" t="inlineStr">
        <is>
          <t>JPY</t>
        </is>
      </c>
      <c r="F150" t="n">
        <v>391829</v>
      </c>
      <c r="G150" t="inlineStr">
        <is>
          <t>Paid</t>
        </is>
      </c>
      <c r="H150" s="13" t="n">
        <v>45590</v>
      </c>
    </row>
    <row r="151">
      <c r="A151" t="n">
        <v>6149</v>
      </c>
      <c r="B151" t="inlineStr">
        <is>
          <t>Cust_B</t>
        </is>
      </c>
      <c r="C151" s="13" t="n">
        <v>45572</v>
      </c>
      <c r="D151" s="13" t="n">
        <v>45602</v>
      </c>
      <c r="E151" t="inlineStr">
        <is>
          <t>EUR</t>
        </is>
      </c>
      <c r="F151" t="n">
        <v>1603.43</v>
      </c>
      <c r="G151" t="inlineStr">
        <is>
          <t>Paid</t>
        </is>
      </c>
      <c r="H151" s="13" t="n">
        <v>45606</v>
      </c>
    </row>
    <row r="152">
      <c r="A152" t="n">
        <v>6150</v>
      </c>
      <c r="B152" t="inlineStr">
        <is>
          <t>Cust_D</t>
        </is>
      </c>
      <c r="C152" s="13" t="n">
        <v>45468</v>
      </c>
      <c r="D152" s="13" t="n">
        <v>45528</v>
      </c>
      <c r="E152" t="inlineStr">
        <is>
          <t>EUR</t>
        </is>
      </c>
      <c r="F152" t="n">
        <v>15472.92</v>
      </c>
      <c r="G152" t="inlineStr">
        <is>
          <t>Paid</t>
        </is>
      </c>
      <c r="H152" s="13" t="n">
        <v>45537</v>
      </c>
    </row>
    <row r="153">
      <c r="A153" t="n">
        <v>6151</v>
      </c>
      <c r="B153" t="inlineStr">
        <is>
          <t>Cust_B</t>
        </is>
      </c>
      <c r="C153" s="13" t="n">
        <v>45371</v>
      </c>
      <c r="D153" s="13" t="n">
        <v>45401</v>
      </c>
      <c r="E153" t="inlineStr">
        <is>
          <t>EUR</t>
        </is>
      </c>
      <c r="F153" t="n">
        <v>4018.13</v>
      </c>
      <c r="G153" t="inlineStr">
        <is>
          <t>Paid</t>
        </is>
      </c>
      <c r="H153" s="13" t="n">
        <v>45420</v>
      </c>
    </row>
    <row r="154">
      <c r="A154" t="n">
        <v>6152</v>
      </c>
      <c r="B154" t="inlineStr">
        <is>
          <t>Cust_B</t>
        </is>
      </c>
      <c r="C154" s="13" t="n">
        <v>45443</v>
      </c>
      <c r="D154" s="13" t="n">
        <v>45473</v>
      </c>
      <c r="E154" t="inlineStr">
        <is>
          <t>EUR</t>
        </is>
      </c>
      <c r="F154" t="n">
        <v>4576.42</v>
      </c>
      <c r="G154" t="inlineStr">
        <is>
          <t>Paid</t>
        </is>
      </c>
      <c r="H154" s="13" t="n">
        <v>45482</v>
      </c>
    </row>
    <row r="155">
      <c r="A155" t="n">
        <v>6153</v>
      </c>
      <c r="B155" t="inlineStr">
        <is>
          <t>Cust_B</t>
        </is>
      </c>
      <c r="C155" s="13" t="n">
        <v>45604</v>
      </c>
      <c r="D155" s="13" t="n">
        <v>45649</v>
      </c>
      <c r="E155" t="inlineStr">
        <is>
          <t>EUR</t>
        </is>
      </c>
      <c r="F155" t="n">
        <v>11517.97</v>
      </c>
      <c r="G155" t="inlineStr">
        <is>
          <t>Paid</t>
        </is>
      </c>
      <c r="H155" s="13" t="n">
        <v>45659</v>
      </c>
    </row>
    <row r="156">
      <c r="A156" t="n">
        <v>6154</v>
      </c>
      <c r="B156" t="inlineStr">
        <is>
          <t>Cust_A</t>
        </is>
      </c>
      <c r="C156" s="13" t="n">
        <v>45458</v>
      </c>
      <c r="D156" s="13" t="n">
        <v>45488</v>
      </c>
      <c r="E156" t="inlineStr">
        <is>
          <t>EUR</t>
        </is>
      </c>
      <c r="F156" t="n">
        <v>10874.32</v>
      </c>
      <c r="G156" t="inlineStr">
        <is>
          <t>Paid</t>
        </is>
      </c>
      <c r="H156" s="13" t="n">
        <v>45494</v>
      </c>
    </row>
    <row r="157">
      <c r="A157" t="n">
        <v>6155</v>
      </c>
      <c r="B157" t="inlineStr">
        <is>
          <t>Cust_A</t>
        </is>
      </c>
      <c r="C157" s="13" t="n">
        <v>45381</v>
      </c>
      <c r="D157" s="13" t="n">
        <v>45426</v>
      </c>
      <c r="E157" t="inlineStr">
        <is>
          <t>EUR</t>
        </is>
      </c>
      <c r="F157" t="n">
        <v>1702.93</v>
      </c>
      <c r="G157" t="inlineStr">
        <is>
          <t>Paid</t>
        </is>
      </c>
      <c r="H157" s="13" t="n">
        <v>45443</v>
      </c>
    </row>
    <row r="158">
      <c r="A158" t="n">
        <v>6156</v>
      </c>
      <c r="B158" t="inlineStr">
        <is>
          <t>Cust_B</t>
        </is>
      </c>
      <c r="C158" s="13" t="n">
        <v>45602</v>
      </c>
      <c r="D158" s="13" t="n">
        <v>45662</v>
      </c>
      <c r="E158" t="inlineStr">
        <is>
          <t>EUR</t>
        </is>
      </c>
      <c r="F158" t="n">
        <v>4365.26</v>
      </c>
      <c r="G158" t="inlineStr">
        <is>
          <t>Paid</t>
        </is>
      </c>
      <c r="H158" s="13" t="n">
        <v>45666</v>
      </c>
    </row>
    <row r="159">
      <c r="A159" t="n">
        <v>6157</v>
      </c>
      <c r="B159" t="inlineStr">
        <is>
          <t>Cust_C</t>
        </is>
      </c>
      <c r="C159" s="13" t="n">
        <v>45636</v>
      </c>
      <c r="D159" s="13" t="n">
        <v>45681</v>
      </c>
      <c r="E159" t="inlineStr">
        <is>
          <t>EUR</t>
        </is>
      </c>
      <c r="F159" t="n">
        <v>2938.7</v>
      </c>
      <c r="G159" t="inlineStr">
        <is>
          <t>Open</t>
        </is>
      </c>
    </row>
    <row r="160">
      <c r="A160" t="n">
        <v>6158</v>
      </c>
      <c r="B160" t="inlineStr">
        <is>
          <t>Cust_B</t>
        </is>
      </c>
      <c r="C160" s="13" t="n">
        <v>45496</v>
      </c>
      <c r="D160" s="13" t="n">
        <v>45526</v>
      </c>
      <c r="E160" t="inlineStr">
        <is>
          <t>EUR</t>
        </is>
      </c>
      <c r="F160" t="n">
        <v>4790.43</v>
      </c>
      <c r="G160" t="inlineStr">
        <is>
          <t>Paid</t>
        </is>
      </c>
      <c r="H160" s="13" t="n">
        <v>45539</v>
      </c>
    </row>
    <row r="161">
      <c r="A161" t="n">
        <v>6159</v>
      </c>
      <c r="B161" t="inlineStr">
        <is>
          <t>Cust_B</t>
        </is>
      </c>
      <c r="C161" s="13" t="n">
        <v>45583</v>
      </c>
      <c r="D161" s="13" t="n">
        <v>45613</v>
      </c>
      <c r="E161" t="inlineStr">
        <is>
          <t>EUR</t>
        </is>
      </c>
      <c r="F161" t="n">
        <v>10213.07</v>
      </c>
      <c r="G161" t="inlineStr">
        <is>
          <t>Paid</t>
        </is>
      </c>
      <c r="H161" s="13" t="n">
        <v>45627</v>
      </c>
    </row>
    <row r="162">
      <c r="A162" t="n">
        <v>6160</v>
      </c>
      <c r="B162" t="inlineStr">
        <is>
          <t>Cust_B</t>
        </is>
      </c>
      <c r="C162" s="13" t="n">
        <v>45639</v>
      </c>
      <c r="D162" s="13" t="n">
        <v>45699</v>
      </c>
      <c r="E162" t="inlineStr">
        <is>
          <t>EUR</t>
        </is>
      </c>
      <c r="F162" t="n">
        <v>27061.4</v>
      </c>
      <c r="G162" t="inlineStr">
        <is>
          <t>Open</t>
        </is>
      </c>
    </row>
    <row r="163">
      <c r="A163" t="n">
        <v>6161</v>
      </c>
      <c r="B163" t="inlineStr">
        <is>
          <t>Cust_A</t>
        </is>
      </c>
      <c r="C163" s="13" t="n">
        <v>45563</v>
      </c>
      <c r="D163" s="13" t="n">
        <v>45593</v>
      </c>
      <c r="E163" t="inlineStr">
        <is>
          <t>EUR</t>
        </is>
      </c>
      <c r="F163" t="n">
        <v>4249.53</v>
      </c>
      <c r="G163" t="inlineStr">
        <is>
          <t>Open</t>
        </is>
      </c>
    </row>
    <row r="164">
      <c r="A164" t="n">
        <v>6162</v>
      </c>
      <c r="B164" t="inlineStr">
        <is>
          <t>Cust_D</t>
        </is>
      </c>
      <c r="C164" s="13" t="n">
        <v>45340</v>
      </c>
      <c r="D164" s="13" t="n">
        <v>45385</v>
      </c>
      <c r="E164" t="inlineStr">
        <is>
          <t>EUR</t>
        </is>
      </c>
      <c r="F164" t="n">
        <v>6113.6</v>
      </c>
      <c r="G164" t="inlineStr">
        <is>
          <t>Paid</t>
        </is>
      </c>
      <c r="H164" s="13" t="n">
        <v>45400</v>
      </c>
    </row>
    <row r="165">
      <c r="A165" t="n">
        <v>6163</v>
      </c>
      <c r="B165" t="inlineStr">
        <is>
          <t>Cust_D</t>
        </is>
      </c>
      <c r="C165" s="13" t="n">
        <v>45410</v>
      </c>
      <c r="D165" s="13" t="n">
        <v>45470</v>
      </c>
      <c r="E165" t="inlineStr">
        <is>
          <t>EUR</t>
        </is>
      </c>
      <c r="F165" t="n">
        <v>8872.18</v>
      </c>
      <c r="G165" t="inlineStr">
        <is>
          <t>Paid</t>
        </is>
      </c>
      <c r="H165" s="13" t="n">
        <v>45489</v>
      </c>
    </row>
    <row r="166">
      <c r="A166" t="n">
        <v>6164</v>
      </c>
      <c r="B166" t="inlineStr">
        <is>
          <t>Cust_B</t>
        </is>
      </c>
      <c r="C166" s="13" t="n">
        <v>45331</v>
      </c>
      <c r="D166" s="13" t="n">
        <v>45376</v>
      </c>
      <c r="E166" t="inlineStr">
        <is>
          <t>EUR</t>
        </is>
      </c>
      <c r="F166" t="n">
        <v>8666.360000000001</v>
      </c>
      <c r="G166" t="inlineStr">
        <is>
          <t>Paid</t>
        </is>
      </c>
      <c r="H166" s="13" t="n">
        <v>45383</v>
      </c>
    </row>
    <row r="167">
      <c r="A167" t="n">
        <v>6165</v>
      </c>
      <c r="B167" t="inlineStr">
        <is>
          <t>Cust_D</t>
        </is>
      </c>
      <c r="C167" s="13" t="n">
        <v>45608</v>
      </c>
      <c r="D167" s="13" t="n">
        <v>45638</v>
      </c>
      <c r="E167" t="inlineStr">
        <is>
          <t>JPY</t>
        </is>
      </c>
      <c r="F167" t="n">
        <v>2253102</v>
      </c>
      <c r="G167" t="inlineStr">
        <is>
          <t>Paid</t>
        </is>
      </c>
      <c r="H167" s="13" t="n">
        <v>45640</v>
      </c>
    </row>
    <row r="168">
      <c r="A168" t="n">
        <v>6166</v>
      </c>
      <c r="B168" t="inlineStr">
        <is>
          <t>Cust_C</t>
        </is>
      </c>
      <c r="C168" s="13" t="n">
        <v>45554</v>
      </c>
      <c r="D168" s="13" t="n">
        <v>45599</v>
      </c>
      <c r="E168" t="inlineStr">
        <is>
          <t>JPY</t>
        </is>
      </c>
      <c r="F168" t="n">
        <v>1975407</v>
      </c>
      <c r="G168" t="inlineStr">
        <is>
          <t>Paid</t>
        </is>
      </c>
      <c r="H168" s="13" t="n">
        <v>45613</v>
      </c>
    </row>
    <row r="169">
      <c r="A169" t="n">
        <v>6167</v>
      </c>
      <c r="B169" t="inlineStr">
        <is>
          <t>Cust_A</t>
        </is>
      </c>
      <c r="C169" s="13" t="n">
        <v>45550</v>
      </c>
      <c r="D169" s="13" t="n">
        <v>45580</v>
      </c>
      <c r="E169" t="inlineStr">
        <is>
          <t>EUR</t>
        </is>
      </c>
      <c r="F169" t="n">
        <v>9132.190000000001</v>
      </c>
      <c r="G169" t="inlineStr">
        <is>
          <t>Paid</t>
        </is>
      </c>
      <c r="H169" s="13" t="n">
        <v>45594</v>
      </c>
    </row>
    <row r="170">
      <c r="A170" t="n">
        <v>6168</v>
      </c>
      <c r="B170" t="inlineStr">
        <is>
          <t>Cust_C</t>
        </is>
      </c>
      <c r="C170" s="13" t="n">
        <v>45364</v>
      </c>
      <c r="D170" s="13" t="n">
        <v>45409</v>
      </c>
      <c r="E170" t="inlineStr">
        <is>
          <t>EUR</t>
        </is>
      </c>
      <c r="F170" t="n">
        <v>15601.25</v>
      </c>
      <c r="G170" t="inlineStr">
        <is>
          <t>Paid</t>
        </is>
      </c>
      <c r="H170" s="13" t="n">
        <v>45423</v>
      </c>
    </row>
    <row r="171">
      <c r="A171" t="n">
        <v>6169</v>
      </c>
      <c r="B171" t="inlineStr">
        <is>
          <t>Cust_C</t>
        </is>
      </c>
      <c r="C171" s="13" t="n">
        <v>45351</v>
      </c>
      <c r="D171" s="13" t="n">
        <v>45411</v>
      </c>
      <c r="E171" t="inlineStr">
        <is>
          <t>EUR</t>
        </is>
      </c>
      <c r="F171" t="n">
        <v>16551.75</v>
      </c>
      <c r="G171" t="inlineStr">
        <is>
          <t>Overdue</t>
        </is>
      </c>
    </row>
    <row r="172">
      <c r="A172" t="n">
        <v>6170</v>
      </c>
      <c r="B172" t="inlineStr">
        <is>
          <t>Cust_C</t>
        </is>
      </c>
      <c r="C172" s="13" t="n">
        <v>45355</v>
      </c>
      <c r="D172" s="13" t="n">
        <v>45385</v>
      </c>
      <c r="E172" t="inlineStr">
        <is>
          <t>JPY</t>
        </is>
      </c>
      <c r="F172" t="n">
        <v>979919</v>
      </c>
      <c r="G172" t="inlineStr">
        <is>
          <t>Overdue</t>
        </is>
      </c>
    </row>
    <row r="173">
      <c r="A173" t="n">
        <v>6171</v>
      </c>
      <c r="B173" t="inlineStr">
        <is>
          <t>Cust_C</t>
        </is>
      </c>
      <c r="C173" s="13" t="n">
        <v>45428</v>
      </c>
      <c r="D173" s="13" t="n">
        <v>45488</v>
      </c>
      <c r="E173" t="inlineStr">
        <is>
          <t>EUR</t>
        </is>
      </c>
      <c r="F173" t="n">
        <v>13030.57</v>
      </c>
      <c r="G173" t="inlineStr">
        <is>
          <t>Paid</t>
        </is>
      </c>
      <c r="H173" s="13" t="n">
        <v>45508</v>
      </c>
    </row>
    <row r="174">
      <c r="A174" t="n">
        <v>6172</v>
      </c>
      <c r="B174" t="inlineStr">
        <is>
          <t>Cust_B</t>
        </is>
      </c>
      <c r="C174" s="13" t="n">
        <v>45483</v>
      </c>
      <c r="D174" s="13" t="n">
        <v>45528</v>
      </c>
      <c r="E174" t="inlineStr">
        <is>
          <t>EUR</t>
        </is>
      </c>
      <c r="F174" t="n">
        <v>12175.39</v>
      </c>
      <c r="G174" t="inlineStr">
        <is>
          <t>Paid</t>
        </is>
      </c>
      <c r="H174" s="13" t="n">
        <v>45535</v>
      </c>
    </row>
    <row r="175">
      <c r="A175" t="n">
        <v>6173</v>
      </c>
      <c r="B175" t="inlineStr">
        <is>
          <t>Cust_B</t>
        </is>
      </c>
      <c r="C175" s="13" t="n">
        <v>45624</v>
      </c>
      <c r="D175" s="13" t="n">
        <v>45684</v>
      </c>
      <c r="E175" t="inlineStr">
        <is>
          <t>EUR</t>
        </is>
      </c>
      <c r="F175" t="n">
        <v>12567.48</v>
      </c>
      <c r="G175" t="inlineStr">
        <is>
          <t>Open</t>
        </is>
      </c>
    </row>
    <row r="176">
      <c r="A176" t="n">
        <v>6174</v>
      </c>
      <c r="B176" t="inlineStr">
        <is>
          <t>Cust_C</t>
        </is>
      </c>
      <c r="C176" s="13" t="n">
        <v>45637</v>
      </c>
      <c r="D176" s="13" t="n">
        <v>45697</v>
      </c>
      <c r="E176" t="inlineStr">
        <is>
          <t>EUR</t>
        </is>
      </c>
      <c r="F176" t="n">
        <v>4091.89</v>
      </c>
      <c r="G176" t="inlineStr">
        <is>
          <t>Open</t>
        </is>
      </c>
    </row>
    <row r="177">
      <c r="A177" t="n">
        <v>6175</v>
      </c>
      <c r="B177" t="inlineStr">
        <is>
          <t>Cust_D</t>
        </is>
      </c>
      <c r="C177" s="13" t="n">
        <v>45485</v>
      </c>
      <c r="D177" s="13" t="n">
        <v>45515</v>
      </c>
      <c r="E177" t="inlineStr">
        <is>
          <t>EUR</t>
        </is>
      </c>
      <c r="F177" t="n">
        <v>4517.73</v>
      </c>
      <c r="G177" t="inlineStr">
        <is>
          <t>Paid</t>
        </is>
      </c>
      <c r="H177" s="13" t="n">
        <v>45527</v>
      </c>
    </row>
    <row r="178">
      <c r="A178" t="n">
        <v>6176</v>
      </c>
      <c r="B178" t="inlineStr">
        <is>
          <t>Cust_D</t>
        </is>
      </c>
      <c r="C178" s="13" t="n">
        <v>45643</v>
      </c>
      <c r="D178" s="13" t="n">
        <v>45703</v>
      </c>
      <c r="E178" t="inlineStr">
        <is>
          <t>EUR</t>
        </is>
      </c>
      <c r="F178" t="n">
        <v>2591.96</v>
      </c>
      <c r="G178" t="inlineStr">
        <is>
          <t>Overdue</t>
        </is>
      </c>
    </row>
    <row r="179">
      <c r="A179" t="n">
        <v>6177</v>
      </c>
      <c r="B179" t="inlineStr">
        <is>
          <t>Cust_C</t>
        </is>
      </c>
      <c r="C179" s="13" t="n">
        <v>45407</v>
      </c>
      <c r="D179" s="13" t="n">
        <v>45467</v>
      </c>
      <c r="E179" t="inlineStr">
        <is>
          <t>EUR</t>
        </is>
      </c>
      <c r="F179" t="n">
        <v>9811.76</v>
      </c>
      <c r="G179" t="inlineStr">
        <is>
          <t>Paid</t>
        </is>
      </c>
      <c r="H179" s="13" t="n">
        <v>45486</v>
      </c>
    </row>
    <row r="180">
      <c r="A180" t="n">
        <v>6178</v>
      </c>
      <c r="B180" t="inlineStr">
        <is>
          <t>Cust_A</t>
        </is>
      </c>
      <c r="C180" s="13" t="n">
        <v>45519</v>
      </c>
      <c r="D180" s="13" t="n">
        <v>45579</v>
      </c>
      <c r="E180" t="inlineStr">
        <is>
          <t>EUR</t>
        </is>
      </c>
      <c r="F180" t="n">
        <v>5564.18</v>
      </c>
      <c r="G180" t="inlineStr">
        <is>
          <t>Overdue</t>
        </is>
      </c>
    </row>
    <row r="181">
      <c r="A181" t="n">
        <v>6179</v>
      </c>
      <c r="B181" t="inlineStr">
        <is>
          <t>Cust_A</t>
        </is>
      </c>
      <c r="C181" s="13" t="n">
        <v>45626</v>
      </c>
      <c r="D181" s="13" t="n">
        <v>45671</v>
      </c>
      <c r="E181" t="inlineStr">
        <is>
          <t>EUR</t>
        </is>
      </c>
      <c r="F181" t="n">
        <v>9449.84</v>
      </c>
      <c r="G181" t="inlineStr">
        <is>
          <t>Overdue</t>
        </is>
      </c>
    </row>
    <row r="182">
      <c r="A182" t="n">
        <v>6180</v>
      </c>
      <c r="B182" t="inlineStr">
        <is>
          <t>Cust_B</t>
        </is>
      </c>
      <c r="C182" s="13" t="n">
        <v>45413</v>
      </c>
      <c r="D182" s="13" t="n">
        <v>45443</v>
      </c>
      <c r="E182" t="inlineStr">
        <is>
          <t>EUR</t>
        </is>
      </c>
      <c r="F182" t="n">
        <v>10305.83</v>
      </c>
      <c r="G182" t="inlineStr">
        <is>
          <t>Open</t>
        </is>
      </c>
    </row>
    <row r="183">
      <c r="A183" t="n">
        <v>6181</v>
      </c>
      <c r="B183" t="inlineStr">
        <is>
          <t>Cust_B</t>
        </is>
      </c>
      <c r="C183" s="13" t="n">
        <v>45543</v>
      </c>
      <c r="D183" s="13" t="n">
        <v>45573</v>
      </c>
      <c r="E183" t="inlineStr">
        <is>
          <t>EUR</t>
        </is>
      </c>
      <c r="F183" t="n">
        <v>13464.18</v>
      </c>
      <c r="G183" t="inlineStr">
        <is>
          <t>Paid</t>
        </is>
      </c>
      <c r="H183" s="13" t="n">
        <v>45578</v>
      </c>
    </row>
    <row r="184">
      <c r="A184" t="n">
        <v>6182</v>
      </c>
      <c r="B184" t="inlineStr">
        <is>
          <t>Cust_D</t>
        </is>
      </c>
      <c r="C184" s="13" t="n">
        <v>45563</v>
      </c>
      <c r="D184" s="13" t="n">
        <v>45593</v>
      </c>
      <c r="E184" t="inlineStr">
        <is>
          <t>EUR</t>
        </is>
      </c>
      <c r="F184" t="n">
        <v>24709.62</v>
      </c>
      <c r="G184" t="inlineStr">
        <is>
          <t>Paid</t>
        </is>
      </c>
      <c r="H184" s="13" t="n">
        <v>45605</v>
      </c>
    </row>
    <row r="185">
      <c r="A185" t="n">
        <v>6183</v>
      </c>
      <c r="B185" t="inlineStr">
        <is>
          <t>Cust_B</t>
        </is>
      </c>
      <c r="C185" s="13" t="n">
        <v>45320</v>
      </c>
      <c r="D185" s="13" t="n">
        <v>45365</v>
      </c>
      <c r="E185" t="inlineStr">
        <is>
          <t>EUR</t>
        </is>
      </c>
      <c r="F185" t="n">
        <v>1376.19</v>
      </c>
      <c r="G185" t="inlineStr">
        <is>
          <t>Paid</t>
        </is>
      </c>
      <c r="H185" s="13" t="n">
        <v>45375</v>
      </c>
    </row>
    <row r="186">
      <c r="A186" t="n">
        <v>6184</v>
      </c>
      <c r="B186" t="inlineStr">
        <is>
          <t>Cust_C</t>
        </is>
      </c>
      <c r="C186" s="13" t="n">
        <v>45330</v>
      </c>
      <c r="D186" s="13" t="n">
        <v>45360</v>
      </c>
      <c r="E186" t="inlineStr">
        <is>
          <t>EUR</t>
        </is>
      </c>
      <c r="F186" t="n">
        <v>1613.72</v>
      </c>
      <c r="G186" t="inlineStr">
        <is>
          <t>Paid</t>
        </is>
      </c>
      <c r="H186" s="13" t="n">
        <v>45380</v>
      </c>
    </row>
    <row r="187">
      <c r="A187" t="n">
        <v>6185</v>
      </c>
      <c r="B187" t="inlineStr">
        <is>
          <t>Cust_D</t>
        </is>
      </c>
      <c r="C187" s="13" t="n">
        <v>45339</v>
      </c>
      <c r="D187" s="13" t="n">
        <v>45384</v>
      </c>
      <c r="E187" t="inlineStr">
        <is>
          <t>EUR</t>
        </is>
      </c>
      <c r="F187" t="n">
        <v>13575.31</v>
      </c>
      <c r="G187" t="inlineStr">
        <is>
          <t>Paid</t>
        </is>
      </c>
      <c r="H187" s="13" t="n">
        <v>45398</v>
      </c>
    </row>
    <row r="188">
      <c r="A188" t="n">
        <v>6186</v>
      </c>
      <c r="B188" t="inlineStr">
        <is>
          <t>Cust_B</t>
        </is>
      </c>
      <c r="C188" s="13" t="n">
        <v>45609</v>
      </c>
      <c r="D188" s="13" t="n">
        <v>45639</v>
      </c>
      <c r="E188" t="inlineStr">
        <is>
          <t>EUR</t>
        </is>
      </c>
      <c r="F188" t="n">
        <v>9179.66</v>
      </c>
      <c r="G188" t="inlineStr">
        <is>
          <t>Paid</t>
        </is>
      </c>
      <c r="H188" s="13" t="n">
        <v>45652</v>
      </c>
    </row>
    <row r="189">
      <c r="A189" t="n">
        <v>6187</v>
      </c>
      <c r="B189" t="inlineStr">
        <is>
          <t>Cust_C</t>
        </is>
      </c>
      <c r="C189" s="13" t="n">
        <v>45344</v>
      </c>
      <c r="D189" s="13" t="n">
        <v>45404</v>
      </c>
      <c r="E189" t="inlineStr">
        <is>
          <t>EUR</t>
        </is>
      </c>
      <c r="F189" t="n">
        <v>7621.93</v>
      </c>
      <c r="G189" t="inlineStr">
        <is>
          <t>Open</t>
        </is>
      </c>
    </row>
    <row r="190">
      <c r="A190" t="n">
        <v>6188</v>
      </c>
      <c r="B190" t="inlineStr">
        <is>
          <t>Cust_A</t>
        </is>
      </c>
      <c r="C190" s="13" t="n">
        <v>45359</v>
      </c>
      <c r="D190" s="13" t="n">
        <v>45389</v>
      </c>
      <c r="E190" t="inlineStr">
        <is>
          <t>EUR</t>
        </is>
      </c>
      <c r="F190" t="n">
        <v>10599.82</v>
      </c>
      <c r="G190" t="inlineStr">
        <is>
          <t>Paid</t>
        </is>
      </c>
      <c r="H190" s="13" t="n">
        <v>45391</v>
      </c>
    </row>
    <row r="191">
      <c r="A191" t="n">
        <v>6189</v>
      </c>
      <c r="B191" t="inlineStr">
        <is>
          <t>Cust_C</t>
        </is>
      </c>
      <c r="C191" s="13" t="n">
        <v>45553</v>
      </c>
      <c r="D191" s="13" t="n">
        <v>45613</v>
      </c>
      <c r="E191" t="inlineStr">
        <is>
          <t>EUR</t>
        </is>
      </c>
      <c r="F191" t="n">
        <v>13886.65</v>
      </c>
      <c r="G191" t="inlineStr">
        <is>
          <t>Paid</t>
        </is>
      </c>
      <c r="H191" s="13" t="n">
        <v>45628</v>
      </c>
    </row>
    <row r="192">
      <c r="A192" t="n">
        <v>6190</v>
      </c>
      <c r="B192" t="inlineStr">
        <is>
          <t>Cust_B</t>
        </is>
      </c>
      <c r="C192" s="13" t="n">
        <v>45618</v>
      </c>
      <c r="D192" s="13" t="n">
        <v>45648</v>
      </c>
      <c r="E192" t="inlineStr">
        <is>
          <t>EUR</t>
        </is>
      </c>
      <c r="F192" t="n">
        <v>10014.86</v>
      </c>
      <c r="G192" t="inlineStr">
        <is>
          <t>Paid</t>
        </is>
      </c>
      <c r="H192" s="13" t="n">
        <v>45668</v>
      </c>
    </row>
    <row r="193">
      <c r="A193" t="n">
        <v>6191</v>
      </c>
      <c r="B193" t="inlineStr">
        <is>
          <t>Cust_B</t>
        </is>
      </c>
      <c r="C193" s="13" t="n">
        <v>45556</v>
      </c>
      <c r="D193" s="13" t="n">
        <v>45616</v>
      </c>
      <c r="E193" t="inlineStr">
        <is>
          <t>EUR</t>
        </is>
      </c>
      <c r="F193" t="n">
        <v>10020.2</v>
      </c>
      <c r="G193" t="inlineStr">
        <is>
          <t>Paid</t>
        </is>
      </c>
      <c r="H193" s="13" t="n">
        <v>45632</v>
      </c>
    </row>
    <row r="194">
      <c r="A194" t="n">
        <v>6192</v>
      </c>
      <c r="B194" t="inlineStr">
        <is>
          <t>Cust_D</t>
        </is>
      </c>
      <c r="C194" s="13" t="n">
        <v>45612</v>
      </c>
      <c r="D194" s="13" t="n">
        <v>45657</v>
      </c>
      <c r="E194" t="inlineStr">
        <is>
          <t>EUR</t>
        </is>
      </c>
      <c r="F194" t="n">
        <v>17183.86</v>
      </c>
      <c r="G194" t="inlineStr">
        <is>
          <t>Paid</t>
        </is>
      </c>
      <c r="H194" s="13" t="n">
        <v>45661</v>
      </c>
    </row>
    <row r="195">
      <c r="A195" t="n">
        <v>6193</v>
      </c>
      <c r="B195" t="inlineStr">
        <is>
          <t>Cust_B</t>
        </is>
      </c>
      <c r="C195" s="13" t="n">
        <v>45456</v>
      </c>
      <c r="D195" s="13" t="n">
        <v>45486</v>
      </c>
      <c r="E195" t="inlineStr">
        <is>
          <t>EUR</t>
        </is>
      </c>
      <c r="F195" t="n">
        <v>7102.45</v>
      </c>
      <c r="G195" t="inlineStr">
        <is>
          <t>Paid</t>
        </is>
      </c>
      <c r="H195" s="13" t="n">
        <v>45497</v>
      </c>
    </row>
    <row r="196">
      <c r="A196" t="n">
        <v>6194</v>
      </c>
      <c r="B196" t="inlineStr">
        <is>
          <t>Cust_A</t>
        </is>
      </c>
      <c r="C196" s="13" t="n">
        <v>45478</v>
      </c>
      <c r="D196" s="13" t="n">
        <v>45508</v>
      </c>
      <c r="E196" t="inlineStr">
        <is>
          <t>EUR</t>
        </is>
      </c>
      <c r="F196" t="n">
        <v>20643.15</v>
      </c>
      <c r="G196" t="inlineStr">
        <is>
          <t>Open</t>
        </is>
      </c>
    </row>
    <row r="197">
      <c r="A197" t="n">
        <v>6195</v>
      </c>
      <c r="B197" t="inlineStr">
        <is>
          <t>Cust_D</t>
        </is>
      </c>
      <c r="C197" s="13" t="n">
        <v>45481</v>
      </c>
      <c r="D197" s="13" t="n">
        <v>45541</v>
      </c>
      <c r="E197" t="inlineStr">
        <is>
          <t>EUR</t>
        </is>
      </c>
      <c r="F197" t="n">
        <v>12768.31</v>
      </c>
      <c r="G197" t="inlineStr">
        <is>
          <t>Paid</t>
        </is>
      </c>
      <c r="H197" s="13" t="n">
        <v>45561</v>
      </c>
    </row>
    <row r="198">
      <c r="A198" t="n">
        <v>6196</v>
      </c>
      <c r="B198" t="inlineStr">
        <is>
          <t>Cust_D</t>
        </is>
      </c>
      <c r="C198" s="13" t="n">
        <v>45465</v>
      </c>
      <c r="D198" s="13" t="n">
        <v>45525</v>
      </c>
      <c r="E198" t="inlineStr">
        <is>
          <t>EUR</t>
        </is>
      </c>
      <c r="F198" t="n">
        <v>7964.97</v>
      </c>
      <c r="G198" t="inlineStr">
        <is>
          <t>Paid</t>
        </is>
      </c>
      <c r="H198" s="13" t="n">
        <v>45534</v>
      </c>
    </row>
    <row r="199">
      <c r="A199" t="n">
        <v>6197</v>
      </c>
      <c r="B199" t="inlineStr">
        <is>
          <t>Cust_C</t>
        </is>
      </c>
      <c r="C199" s="13" t="n">
        <v>45417</v>
      </c>
      <c r="D199" s="13" t="n">
        <v>45462</v>
      </c>
      <c r="E199" t="inlineStr">
        <is>
          <t>EUR</t>
        </is>
      </c>
      <c r="F199" t="n">
        <v>3191.28</v>
      </c>
      <c r="G199" t="inlineStr">
        <is>
          <t>Paid</t>
        </is>
      </c>
      <c r="H199" s="13" t="n">
        <v>45480</v>
      </c>
    </row>
    <row r="200">
      <c r="A200" t="n">
        <v>6198</v>
      </c>
      <c r="B200" t="inlineStr">
        <is>
          <t>Cust_C</t>
        </is>
      </c>
      <c r="C200" s="13" t="n">
        <v>45436</v>
      </c>
      <c r="D200" s="13" t="n">
        <v>45481</v>
      </c>
      <c r="E200" t="inlineStr">
        <is>
          <t>EUR</t>
        </is>
      </c>
      <c r="F200" t="n">
        <v>8876</v>
      </c>
      <c r="G200" t="inlineStr">
        <is>
          <t>Open</t>
        </is>
      </c>
    </row>
    <row r="201">
      <c r="A201" t="n">
        <v>6199</v>
      </c>
      <c r="B201" t="inlineStr">
        <is>
          <t>Cust_D</t>
        </is>
      </c>
      <c r="C201" s="13" t="n">
        <v>45612</v>
      </c>
      <c r="D201" s="13" t="n">
        <v>45657</v>
      </c>
      <c r="E201" t="inlineStr">
        <is>
          <t>EUR</t>
        </is>
      </c>
      <c r="F201" t="n">
        <v>7035.46</v>
      </c>
      <c r="G201" t="inlineStr">
        <is>
          <t>Paid</t>
        </is>
      </c>
      <c r="H201" s="13" t="n">
        <v>45662</v>
      </c>
    </row>
    <row r="202">
      <c r="A202" t="n">
        <v>6200</v>
      </c>
      <c r="B202" t="inlineStr">
        <is>
          <t>Cust_D</t>
        </is>
      </c>
      <c r="C202" s="13" t="n">
        <v>45546</v>
      </c>
      <c r="D202" s="13" t="n">
        <v>45606</v>
      </c>
      <c r="E202" t="inlineStr">
        <is>
          <t>EUR</t>
        </is>
      </c>
      <c r="F202" t="n">
        <v>9997.32</v>
      </c>
      <c r="G202" t="inlineStr">
        <is>
          <t>Paid</t>
        </is>
      </c>
      <c r="H202" s="13" t="n">
        <v>45626</v>
      </c>
    </row>
    <row r="203">
      <c r="A203" t="n">
        <v>6201</v>
      </c>
      <c r="B203" t="inlineStr">
        <is>
          <t>Cust_B</t>
        </is>
      </c>
      <c r="C203" s="13" t="n">
        <v>45317</v>
      </c>
      <c r="D203" s="13" t="n">
        <v>45377</v>
      </c>
      <c r="E203" t="inlineStr">
        <is>
          <t>EUR</t>
        </is>
      </c>
      <c r="F203" t="n">
        <v>9639.08</v>
      </c>
      <c r="G203" t="inlineStr">
        <is>
          <t>Paid</t>
        </is>
      </c>
      <c r="H203" s="13" t="n">
        <v>45397</v>
      </c>
    </row>
    <row r="204">
      <c r="A204" t="n">
        <v>6202</v>
      </c>
      <c r="B204" t="inlineStr">
        <is>
          <t>Cust_B</t>
        </is>
      </c>
      <c r="C204" s="13" t="n">
        <v>45399</v>
      </c>
      <c r="D204" s="13" t="n">
        <v>45444</v>
      </c>
      <c r="E204" t="inlineStr">
        <is>
          <t>EUR</t>
        </is>
      </c>
      <c r="F204" t="n">
        <v>11895.38</v>
      </c>
      <c r="G204" t="inlineStr">
        <is>
          <t>Paid</t>
        </is>
      </c>
      <c r="H204" s="13" t="n">
        <v>45449</v>
      </c>
    </row>
    <row r="205">
      <c r="A205" t="n">
        <v>6203</v>
      </c>
      <c r="B205" t="inlineStr">
        <is>
          <t>Cust_D</t>
        </is>
      </c>
      <c r="C205" s="13" t="n">
        <v>45426</v>
      </c>
      <c r="D205" s="13" t="n">
        <v>45456</v>
      </c>
      <c r="E205" t="inlineStr">
        <is>
          <t>EUR</t>
        </is>
      </c>
      <c r="F205" t="n">
        <v>6637.14</v>
      </c>
      <c r="G205" t="inlineStr">
        <is>
          <t>Open</t>
        </is>
      </c>
    </row>
    <row r="206">
      <c r="A206" t="n">
        <v>6204</v>
      </c>
      <c r="B206" t="inlineStr">
        <is>
          <t>Cust_B</t>
        </is>
      </c>
      <c r="C206" s="13" t="n">
        <v>45485</v>
      </c>
      <c r="D206" s="13" t="n">
        <v>45545</v>
      </c>
      <c r="E206" t="inlineStr">
        <is>
          <t>EUR</t>
        </is>
      </c>
      <c r="F206" t="n">
        <v>12991.66</v>
      </c>
      <c r="G206" t="inlineStr">
        <is>
          <t>Paid</t>
        </is>
      </c>
      <c r="H206" s="13" t="n">
        <v>45565</v>
      </c>
    </row>
    <row r="207">
      <c r="A207" t="n">
        <v>6205</v>
      </c>
      <c r="B207" t="inlineStr">
        <is>
          <t>Cust_C</t>
        </is>
      </c>
      <c r="C207" s="13" t="n">
        <v>45634</v>
      </c>
      <c r="D207" s="13" t="n">
        <v>45664</v>
      </c>
      <c r="E207" t="inlineStr">
        <is>
          <t>EUR</t>
        </is>
      </c>
      <c r="F207" t="n">
        <v>28552.19</v>
      </c>
      <c r="G207" t="inlineStr">
        <is>
          <t>Open</t>
        </is>
      </c>
    </row>
    <row r="208">
      <c r="A208" t="n">
        <v>6206</v>
      </c>
      <c r="B208" t="inlineStr">
        <is>
          <t>Cust_C</t>
        </is>
      </c>
      <c r="C208" s="13" t="n">
        <v>45464</v>
      </c>
      <c r="D208" s="13" t="n">
        <v>45494</v>
      </c>
      <c r="E208" t="inlineStr">
        <is>
          <t>EUR</t>
        </is>
      </c>
      <c r="F208" t="n">
        <v>6274.1</v>
      </c>
      <c r="G208" t="inlineStr">
        <is>
          <t>Paid</t>
        </is>
      </c>
      <c r="H208" s="13" t="n">
        <v>45496</v>
      </c>
    </row>
    <row r="209">
      <c r="A209" t="n">
        <v>6207</v>
      </c>
      <c r="B209" t="inlineStr">
        <is>
          <t>Cust_D</t>
        </is>
      </c>
      <c r="C209" s="13" t="n">
        <v>45624</v>
      </c>
      <c r="D209" s="13" t="n">
        <v>45669</v>
      </c>
      <c r="E209" t="inlineStr">
        <is>
          <t>JPY</t>
        </is>
      </c>
      <c r="F209" t="n">
        <v>269747</v>
      </c>
      <c r="G209" t="inlineStr">
        <is>
          <t>Paid</t>
        </is>
      </c>
      <c r="H209" s="13" t="n">
        <v>45687</v>
      </c>
    </row>
    <row r="210">
      <c r="A210" t="n">
        <v>6208</v>
      </c>
      <c r="B210" t="inlineStr">
        <is>
          <t>Cust_A</t>
        </is>
      </c>
      <c r="C210" s="13" t="n">
        <v>45381</v>
      </c>
      <c r="D210" s="13" t="n">
        <v>45426</v>
      </c>
      <c r="E210" t="inlineStr">
        <is>
          <t>EUR</t>
        </is>
      </c>
      <c r="F210" t="n">
        <v>12451.88</v>
      </c>
      <c r="G210" t="inlineStr">
        <is>
          <t>Paid</t>
        </is>
      </c>
      <c r="H210" s="13" t="n">
        <v>45444</v>
      </c>
    </row>
    <row r="211">
      <c r="A211" t="n">
        <v>6209</v>
      </c>
      <c r="B211" t="inlineStr">
        <is>
          <t>Cust_A</t>
        </is>
      </c>
      <c r="C211" s="13" t="n">
        <v>45386</v>
      </c>
      <c r="D211" s="13" t="n">
        <v>45431</v>
      </c>
      <c r="E211" t="inlineStr">
        <is>
          <t>EUR</t>
        </is>
      </c>
      <c r="F211" t="n">
        <v>9857.52</v>
      </c>
      <c r="G211" t="inlineStr">
        <is>
          <t>Open</t>
        </is>
      </c>
    </row>
    <row r="212">
      <c r="A212" t="n">
        <v>6210</v>
      </c>
      <c r="B212" t="inlineStr">
        <is>
          <t>Cust_A</t>
        </is>
      </c>
      <c r="C212" s="13" t="n">
        <v>45301</v>
      </c>
      <c r="D212" s="13" t="n">
        <v>45346</v>
      </c>
      <c r="E212" t="inlineStr">
        <is>
          <t>EUR</t>
        </is>
      </c>
      <c r="F212" t="n">
        <v>4967.61</v>
      </c>
      <c r="G212" t="inlineStr">
        <is>
          <t>Overdue</t>
        </is>
      </c>
    </row>
    <row r="213">
      <c r="A213" t="n">
        <v>6211</v>
      </c>
      <c r="B213" t="inlineStr">
        <is>
          <t>Cust_B</t>
        </is>
      </c>
      <c r="C213" s="13" t="n">
        <v>45497</v>
      </c>
      <c r="D213" s="13" t="n">
        <v>45527</v>
      </c>
      <c r="E213" t="inlineStr">
        <is>
          <t>EUR</t>
        </is>
      </c>
      <c r="F213" t="n">
        <v>20312.06</v>
      </c>
      <c r="G213" t="inlineStr">
        <is>
          <t>Overdue</t>
        </is>
      </c>
    </row>
    <row r="214">
      <c r="A214" t="n">
        <v>6212</v>
      </c>
      <c r="B214" t="inlineStr">
        <is>
          <t>Cust_B</t>
        </is>
      </c>
      <c r="C214" s="13" t="n">
        <v>45463</v>
      </c>
      <c r="D214" s="13" t="n">
        <v>45523</v>
      </c>
      <c r="E214" t="inlineStr">
        <is>
          <t>EUR</t>
        </is>
      </c>
      <c r="F214" t="n">
        <v>9143.129999999999</v>
      </c>
      <c r="G214" t="inlineStr">
        <is>
          <t>Paid</t>
        </is>
      </c>
      <c r="H214" s="13" t="n">
        <v>45529</v>
      </c>
    </row>
    <row r="215">
      <c r="A215" t="n">
        <v>6213</v>
      </c>
      <c r="B215" t="inlineStr">
        <is>
          <t>Cust_C</t>
        </is>
      </c>
      <c r="C215" s="13" t="n">
        <v>45518</v>
      </c>
      <c r="D215" s="13" t="n">
        <v>45548</v>
      </c>
      <c r="E215" t="inlineStr">
        <is>
          <t>EUR</t>
        </is>
      </c>
      <c r="F215" t="n">
        <v>8593.48</v>
      </c>
      <c r="G215" t="inlineStr">
        <is>
          <t>Paid</t>
        </is>
      </c>
      <c r="H215" s="13" t="n">
        <v>45563</v>
      </c>
    </row>
    <row r="216">
      <c r="A216" t="n">
        <v>6214</v>
      </c>
      <c r="B216" t="inlineStr">
        <is>
          <t>Cust_D</t>
        </is>
      </c>
      <c r="C216" s="13" t="n">
        <v>45574</v>
      </c>
      <c r="D216" s="13" t="n">
        <v>45604</v>
      </c>
      <c r="E216" t="inlineStr">
        <is>
          <t>EUR</t>
        </is>
      </c>
      <c r="F216" t="n">
        <v>19788.83</v>
      </c>
      <c r="G216" t="inlineStr">
        <is>
          <t>Open</t>
        </is>
      </c>
    </row>
    <row r="217">
      <c r="A217" t="n">
        <v>6215</v>
      </c>
      <c r="B217" t="inlineStr">
        <is>
          <t>Cust_D</t>
        </is>
      </c>
      <c r="C217" s="13" t="n">
        <v>45537</v>
      </c>
      <c r="D217" s="13" t="n">
        <v>45597</v>
      </c>
      <c r="E217" t="inlineStr">
        <is>
          <t>JPY</t>
        </is>
      </c>
      <c r="F217" t="n">
        <v>1207930</v>
      </c>
      <c r="G217" t="inlineStr">
        <is>
          <t>Paid</t>
        </is>
      </c>
      <c r="H217" s="13" t="n">
        <v>45600</v>
      </c>
    </row>
    <row r="218">
      <c r="A218" t="n">
        <v>6216</v>
      </c>
      <c r="B218" t="inlineStr">
        <is>
          <t>Cust_A</t>
        </is>
      </c>
      <c r="C218" s="13" t="n">
        <v>45347</v>
      </c>
      <c r="D218" s="13" t="n">
        <v>45392</v>
      </c>
      <c r="E218" t="inlineStr">
        <is>
          <t>EUR</t>
        </is>
      </c>
      <c r="F218" t="n">
        <v>11749.5</v>
      </c>
      <c r="G218" t="inlineStr">
        <is>
          <t>Open</t>
        </is>
      </c>
    </row>
    <row r="219">
      <c r="A219" t="n">
        <v>6217</v>
      </c>
      <c r="B219" t="inlineStr">
        <is>
          <t>Cust_B</t>
        </is>
      </c>
      <c r="C219" s="13" t="n">
        <v>45365</v>
      </c>
      <c r="D219" s="13" t="n">
        <v>45410</v>
      </c>
      <c r="E219" t="inlineStr">
        <is>
          <t>EUR</t>
        </is>
      </c>
      <c r="F219" t="n">
        <v>5839.01</v>
      </c>
      <c r="G219" t="inlineStr">
        <is>
          <t>Paid</t>
        </is>
      </c>
      <c r="H219" s="13" t="n">
        <v>45427</v>
      </c>
    </row>
    <row r="220">
      <c r="A220" t="n">
        <v>6218</v>
      </c>
      <c r="B220" t="inlineStr">
        <is>
          <t>Cust_C</t>
        </is>
      </c>
      <c r="C220" s="13" t="n">
        <v>45419</v>
      </c>
      <c r="D220" s="13" t="n">
        <v>45449</v>
      </c>
      <c r="E220" t="inlineStr">
        <is>
          <t>EUR</t>
        </is>
      </c>
      <c r="F220" t="n">
        <v>3370.93</v>
      </c>
      <c r="G220" t="inlineStr">
        <is>
          <t>Paid</t>
        </is>
      </c>
      <c r="H220" s="13" t="n">
        <v>45457</v>
      </c>
    </row>
    <row r="221">
      <c r="A221" t="n">
        <v>6219</v>
      </c>
      <c r="B221" t="inlineStr">
        <is>
          <t>Cust_C</t>
        </is>
      </c>
      <c r="C221" s="13" t="n">
        <v>45340</v>
      </c>
      <c r="D221" s="13" t="n">
        <v>45370</v>
      </c>
      <c r="E221" t="inlineStr">
        <is>
          <t>EUR</t>
        </is>
      </c>
      <c r="F221" t="n">
        <v>7796.3</v>
      </c>
      <c r="G221" t="inlineStr">
        <is>
          <t>Paid</t>
        </is>
      </c>
      <c r="H221" s="13" t="n">
        <v>45381</v>
      </c>
    </row>
    <row r="222">
      <c r="A222" t="n">
        <v>6220</v>
      </c>
      <c r="B222" t="inlineStr">
        <is>
          <t>Cust_C</t>
        </is>
      </c>
      <c r="C222" s="13" t="n">
        <v>45351</v>
      </c>
      <c r="D222" s="13" t="n">
        <v>45381</v>
      </c>
      <c r="E222" t="inlineStr">
        <is>
          <t>EUR</t>
        </is>
      </c>
      <c r="F222" t="n">
        <v>2820.41</v>
      </c>
      <c r="G222" t="inlineStr">
        <is>
          <t>Paid</t>
        </is>
      </c>
      <c r="H222" s="13" t="n">
        <v>45383</v>
      </c>
    </row>
    <row r="223">
      <c r="A223" t="n">
        <v>6221</v>
      </c>
      <c r="B223" t="inlineStr">
        <is>
          <t>Cust_D</t>
        </is>
      </c>
      <c r="C223" s="13" t="n">
        <v>45332</v>
      </c>
      <c r="D223" s="13" t="n">
        <v>45392</v>
      </c>
      <c r="E223" t="inlineStr">
        <is>
          <t>EUR</t>
        </is>
      </c>
      <c r="F223" t="n">
        <v>30806.54</v>
      </c>
      <c r="G223" t="inlineStr">
        <is>
          <t>Paid</t>
        </is>
      </c>
      <c r="H223" s="13" t="n">
        <v>45408</v>
      </c>
    </row>
    <row r="224">
      <c r="A224" t="n">
        <v>6222</v>
      </c>
      <c r="B224" t="inlineStr">
        <is>
          <t>Cust_B</t>
        </is>
      </c>
      <c r="C224" s="13" t="n">
        <v>45417</v>
      </c>
      <c r="D224" s="13" t="n">
        <v>45462</v>
      </c>
      <c r="E224" t="inlineStr">
        <is>
          <t>EUR</t>
        </is>
      </c>
      <c r="F224" t="n">
        <v>21163.21</v>
      </c>
      <c r="G224" t="inlineStr">
        <is>
          <t>Open</t>
        </is>
      </c>
    </row>
    <row r="225">
      <c r="A225" t="n">
        <v>6223</v>
      </c>
      <c r="B225" t="inlineStr">
        <is>
          <t>Cust_A</t>
        </is>
      </c>
      <c r="C225" s="13" t="n">
        <v>45576</v>
      </c>
      <c r="D225" s="13" t="n">
        <v>45621</v>
      </c>
      <c r="E225" t="inlineStr">
        <is>
          <t>EUR</t>
        </is>
      </c>
      <c r="F225" t="n">
        <v>10917.86</v>
      </c>
      <c r="G225" t="inlineStr">
        <is>
          <t>Paid</t>
        </is>
      </c>
      <c r="H225" s="13" t="n">
        <v>45622</v>
      </c>
    </row>
    <row r="226">
      <c r="A226" t="n">
        <v>6224</v>
      </c>
      <c r="B226" t="inlineStr">
        <is>
          <t>Cust_A</t>
        </is>
      </c>
      <c r="C226" s="13" t="n">
        <v>45343</v>
      </c>
      <c r="D226" s="13" t="n">
        <v>45388</v>
      </c>
      <c r="E226" t="inlineStr">
        <is>
          <t>EUR</t>
        </is>
      </c>
      <c r="F226" t="n">
        <v>12283.49</v>
      </c>
      <c r="G226" t="inlineStr">
        <is>
          <t>Paid</t>
        </is>
      </c>
      <c r="H226" s="13" t="n">
        <v>45404</v>
      </c>
    </row>
    <row r="227">
      <c r="A227" t="n">
        <v>6225</v>
      </c>
      <c r="B227" t="inlineStr">
        <is>
          <t>Cust_B</t>
        </is>
      </c>
      <c r="C227" s="13" t="n">
        <v>45573</v>
      </c>
      <c r="D227" s="13" t="n">
        <v>45633</v>
      </c>
      <c r="E227" t="inlineStr">
        <is>
          <t>EUR</t>
        </is>
      </c>
      <c r="F227" t="n">
        <v>4391.49</v>
      </c>
      <c r="G227" t="inlineStr">
        <is>
          <t>Overdue</t>
        </is>
      </c>
    </row>
    <row r="228">
      <c r="A228" t="n">
        <v>6226</v>
      </c>
      <c r="B228" t="inlineStr">
        <is>
          <t>Cust_C</t>
        </is>
      </c>
      <c r="C228" s="13" t="n">
        <v>45358</v>
      </c>
      <c r="D228" s="13" t="n">
        <v>45418</v>
      </c>
      <c r="E228" t="inlineStr">
        <is>
          <t>EUR</t>
        </is>
      </c>
      <c r="F228" t="n">
        <v>6407.32</v>
      </c>
      <c r="G228" t="inlineStr">
        <is>
          <t>Paid</t>
        </is>
      </c>
      <c r="H228" s="13" t="n">
        <v>45437</v>
      </c>
    </row>
    <row r="229">
      <c r="A229" t="n">
        <v>6227</v>
      </c>
      <c r="B229" t="inlineStr">
        <is>
          <t>Cust_A</t>
        </is>
      </c>
      <c r="C229" s="13" t="n">
        <v>45424</v>
      </c>
      <c r="D229" s="13" t="n">
        <v>45454</v>
      </c>
      <c r="E229" t="inlineStr">
        <is>
          <t>JPY</t>
        </is>
      </c>
      <c r="F229" t="n">
        <v>1122766</v>
      </c>
      <c r="G229" t="inlineStr">
        <is>
          <t>Open</t>
        </is>
      </c>
    </row>
    <row r="230">
      <c r="A230" t="n">
        <v>6228</v>
      </c>
      <c r="B230" t="inlineStr">
        <is>
          <t>Cust_D</t>
        </is>
      </c>
      <c r="C230" s="13" t="n">
        <v>45338</v>
      </c>
      <c r="D230" s="13" t="n">
        <v>45383</v>
      </c>
      <c r="E230" t="inlineStr">
        <is>
          <t>EUR</t>
        </is>
      </c>
      <c r="F230" t="n">
        <v>16533.2</v>
      </c>
      <c r="G230" t="inlineStr">
        <is>
          <t>Paid</t>
        </is>
      </c>
      <c r="H230" s="13" t="n">
        <v>45396</v>
      </c>
    </row>
    <row r="231">
      <c r="A231" t="n">
        <v>6229</v>
      </c>
      <c r="B231" t="inlineStr">
        <is>
          <t>Cust_C</t>
        </is>
      </c>
      <c r="C231" s="13" t="n">
        <v>45465</v>
      </c>
      <c r="D231" s="13" t="n">
        <v>45495</v>
      </c>
      <c r="E231" t="inlineStr">
        <is>
          <t>EUR</t>
        </is>
      </c>
      <c r="F231" t="n">
        <v>18460.48</v>
      </c>
      <c r="G231" t="inlineStr">
        <is>
          <t>Paid</t>
        </is>
      </c>
      <c r="H231" s="13" t="n">
        <v>45514</v>
      </c>
    </row>
    <row r="232">
      <c r="A232" t="n">
        <v>6230</v>
      </c>
      <c r="B232" t="inlineStr">
        <is>
          <t>Cust_C</t>
        </is>
      </c>
      <c r="C232" s="13" t="n">
        <v>45565</v>
      </c>
      <c r="D232" s="13" t="n">
        <v>45625</v>
      </c>
      <c r="E232" t="inlineStr">
        <is>
          <t>EUR</t>
        </is>
      </c>
      <c r="F232" t="n">
        <v>7036.03</v>
      </c>
      <c r="G232" t="inlineStr">
        <is>
          <t>Paid</t>
        </is>
      </c>
      <c r="H232" s="13" t="n">
        <v>45640</v>
      </c>
    </row>
    <row r="233">
      <c r="A233" t="n">
        <v>6231</v>
      </c>
      <c r="B233" t="inlineStr">
        <is>
          <t>Cust_D</t>
        </is>
      </c>
      <c r="C233" s="13" t="n">
        <v>45378</v>
      </c>
      <c r="D233" s="13" t="n">
        <v>45408</v>
      </c>
      <c r="E233" t="inlineStr">
        <is>
          <t>EUR</t>
        </is>
      </c>
      <c r="F233" t="n">
        <v>11315.29</v>
      </c>
      <c r="G233" t="inlineStr">
        <is>
          <t>Open</t>
        </is>
      </c>
    </row>
    <row r="234">
      <c r="A234" t="n">
        <v>6232</v>
      </c>
      <c r="B234" t="inlineStr">
        <is>
          <t>Cust_B</t>
        </is>
      </c>
      <c r="C234" s="13" t="n">
        <v>45453</v>
      </c>
      <c r="D234" s="13" t="n">
        <v>45483</v>
      </c>
      <c r="E234" t="inlineStr">
        <is>
          <t>EUR</t>
        </is>
      </c>
      <c r="F234" t="n">
        <v>9497.92</v>
      </c>
      <c r="G234" t="inlineStr">
        <is>
          <t>Open</t>
        </is>
      </c>
    </row>
    <row r="235">
      <c r="A235" t="n">
        <v>6233</v>
      </c>
      <c r="B235" t="inlineStr">
        <is>
          <t>Cust_C</t>
        </is>
      </c>
      <c r="C235" s="13" t="n">
        <v>45520</v>
      </c>
      <c r="D235" s="13" t="n">
        <v>45565</v>
      </c>
      <c r="E235" t="inlineStr">
        <is>
          <t>EUR</t>
        </is>
      </c>
      <c r="F235" t="n">
        <v>12053.78</v>
      </c>
      <c r="G235" t="inlineStr">
        <is>
          <t>Paid</t>
        </is>
      </c>
      <c r="H235" s="13" t="n">
        <v>45575</v>
      </c>
    </row>
    <row r="236">
      <c r="A236" t="n">
        <v>6234</v>
      </c>
      <c r="B236" t="inlineStr">
        <is>
          <t>Cust_A</t>
        </is>
      </c>
      <c r="C236" s="13" t="n">
        <v>45634</v>
      </c>
      <c r="D236" s="13" t="n">
        <v>45694</v>
      </c>
      <c r="E236" t="inlineStr">
        <is>
          <t>EUR</t>
        </is>
      </c>
      <c r="F236" t="n">
        <v>10020.7</v>
      </c>
      <c r="G236" t="inlineStr">
        <is>
          <t>Open</t>
        </is>
      </c>
    </row>
    <row r="237">
      <c r="A237" t="n">
        <v>6235</v>
      </c>
      <c r="B237" t="inlineStr">
        <is>
          <t>Cust_B</t>
        </is>
      </c>
      <c r="C237" s="13" t="n">
        <v>45516</v>
      </c>
      <c r="D237" s="13" t="n">
        <v>45576</v>
      </c>
      <c r="E237" t="inlineStr">
        <is>
          <t>EUR</t>
        </is>
      </c>
      <c r="F237" t="n">
        <v>14938.93</v>
      </c>
      <c r="G237" t="inlineStr">
        <is>
          <t>Paid</t>
        </is>
      </c>
      <c r="H237" s="13" t="n">
        <v>45589</v>
      </c>
    </row>
    <row r="238">
      <c r="A238" t="n">
        <v>6236</v>
      </c>
      <c r="B238" t="inlineStr">
        <is>
          <t>Cust_B</t>
        </is>
      </c>
      <c r="C238" s="13" t="n">
        <v>45635</v>
      </c>
      <c r="D238" s="13" t="n">
        <v>45680</v>
      </c>
      <c r="E238" t="inlineStr">
        <is>
          <t>EUR</t>
        </is>
      </c>
      <c r="F238" t="n">
        <v>16655.08</v>
      </c>
      <c r="G238" t="inlineStr">
        <is>
          <t>Paid</t>
        </is>
      </c>
      <c r="H238" s="13" t="n">
        <v>45688</v>
      </c>
    </row>
    <row r="239">
      <c r="A239" t="n">
        <v>6237</v>
      </c>
      <c r="B239" t="inlineStr">
        <is>
          <t>Cust_C</t>
        </is>
      </c>
      <c r="C239" s="13" t="n">
        <v>45418</v>
      </c>
      <c r="D239" s="13" t="n">
        <v>45448</v>
      </c>
      <c r="E239" t="inlineStr">
        <is>
          <t>EUR</t>
        </is>
      </c>
      <c r="F239" t="n">
        <v>2267.74</v>
      </c>
      <c r="G239" t="inlineStr">
        <is>
          <t>Overdue</t>
        </is>
      </c>
    </row>
    <row r="240">
      <c r="A240" t="n">
        <v>6238</v>
      </c>
      <c r="B240" t="inlineStr">
        <is>
          <t>Cust_A</t>
        </is>
      </c>
      <c r="C240" s="13" t="n">
        <v>45464</v>
      </c>
      <c r="D240" s="13" t="n">
        <v>45494</v>
      </c>
      <c r="E240" t="inlineStr">
        <is>
          <t>EUR</t>
        </is>
      </c>
      <c r="F240" t="n">
        <v>10891.71</v>
      </c>
      <c r="G240" t="inlineStr">
        <is>
          <t>Paid</t>
        </is>
      </c>
      <c r="H240" s="13" t="n">
        <v>45503</v>
      </c>
    </row>
    <row r="241">
      <c r="A241" t="n">
        <v>6239</v>
      </c>
      <c r="B241" t="inlineStr">
        <is>
          <t>Cust_D</t>
        </is>
      </c>
      <c r="C241" s="13" t="n">
        <v>45418</v>
      </c>
      <c r="D241" s="13" t="n">
        <v>45478</v>
      </c>
      <c r="E241" t="inlineStr">
        <is>
          <t>EUR</t>
        </is>
      </c>
      <c r="F241" t="n">
        <v>13357.93</v>
      </c>
      <c r="G241" t="inlineStr">
        <is>
          <t>Open</t>
        </is>
      </c>
    </row>
    <row r="242">
      <c r="A242" t="n">
        <v>6240</v>
      </c>
      <c r="B242" t="inlineStr">
        <is>
          <t>Cust_B</t>
        </is>
      </c>
      <c r="C242" s="13" t="n">
        <v>45481</v>
      </c>
      <c r="D242" s="13" t="n">
        <v>45526</v>
      </c>
      <c r="E242" t="inlineStr">
        <is>
          <t>EUR</t>
        </is>
      </c>
      <c r="F242" t="n">
        <v>15368.39</v>
      </c>
      <c r="G242" t="inlineStr">
        <is>
          <t>Paid</t>
        </is>
      </c>
      <c r="H242" s="13" t="n">
        <v>45534</v>
      </c>
    </row>
    <row r="243">
      <c r="A243" t="n">
        <v>6241</v>
      </c>
      <c r="B243" t="inlineStr">
        <is>
          <t>Cust_B</t>
        </is>
      </c>
      <c r="C243" s="13" t="n">
        <v>45442</v>
      </c>
      <c r="D243" s="13" t="n">
        <v>45487</v>
      </c>
      <c r="E243" t="inlineStr">
        <is>
          <t>EUR</t>
        </is>
      </c>
      <c r="F243" t="n">
        <v>10123.69</v>
      </c>
      <c r="G243" t="inlineStr">
        <is>
          <t>Paid</t>
        </is>
      </c>
      <c r="H243" s="13" t="n">
        <v>45489</v>
      </c>
    </row>
    <row r="244">
      <c r="A244" t="n">
        <v>6242</v>
      </c>
      <c r="B244" t="inlineStr">
        <is>
          <t>Cust_C</t>
        </is>
      </c>
      <c r="C244" s="13" t="n">
        <v>45403</v>
      </c>
      <c r="D244" s="13" t="n">
        <v>45463</v>
      </c>
      <c r="E244" t="inlineStr">
        <is>
          <t>EUR</t>
        </is>
      </c>
      <c r="F244" t="n">
        <v>7018.4</v>
      </c>
      <c r="G244" t="inlineStr">
        <is>
          <t>Open</t>
        </is>
      </c>
    </row>
    <row r="245">
      <c r="A245" t="n">
        <v>6243</v>
      </c>
      <c r="B245" t="inlineStr">
        <is>
          <t>Cust_B</t>
        </is>
      </c>
      <c r="C245" s="13" t="n">
        <v>45359</v>
      </c>
      <c r="D245" s="13" t="n">
        <v>45404</v>
      </c>
      <c r="E245" t="inlineStr">
        <is>
          <t>EUR</t>
        </is>
      </c>
      <c r="F245" t="n">
        <v>9312.98</v>
      </c>
      <c r="G245" t="inlineStr">
        <is>
          <t>Paid</t>
        </is>
      </c>
      <c r="H245" s="13" t="n">
        <v>45415</v>
      </c>
    </row>
    <row r="246">
      <c r="A246" t="n">
        <v>6244</v>
      </c>
      <c r="B246" t="inlineStr">
        <is>
          <t>Cust_A</t>
        </is>
      </c>
      <c r="C246" s="13" t="n">
        <v>45506</v>
      </c>
      <c r="D246" s="13" t="n">
        <v>45566</v>
      </c>
      <c r="E246" t="inlineStr">
        <is>
          <t>EUR</t>
        </is>
      </c>
      <c r="F246" t="n">
        <v>7809.59</v>
      </c>
      <c r="G246" t="inlineStr">
        <is>
          <t>Open</t>
        </is>
      </c>
    </row>
    <row r="247">
      <c r="A247" t="n">
        <v>6245</v>
      </c>
      <c r="B247" t="inlineStr">
        <is>
          <t>Cust_B</t>
        </is>
      </c>
      <c r="C247" s="13" t="n">
        <v>45440</v>
      </c>
      <c r="D247" s="13" t="n">
        <v>45500</v>
      </c>
      <c r="E247" t="inlineStr">
        <is>
          <t>EUR</t>
        </is>
      </c>
      <c r="F247" t="n">
        <v>7770</v>
      </c>
      <c r="G247" t="inlineStr">
        <is>
          <t>Open</t>
        </is>
      </c>
    </row>
    <row r="248">
      <c r="A248" t="n">
        <v>6246</v>
      </c>
      <c r="B248" t="inlineStr">
        <is>
          <t>Cust_A</t>
        </is>
      </c>
      <c r="C248" s="13" t="n">
        <v>45516</v>
      </c>
      <c r="D248" s="13" t="n">
        <v>45561</v>
      </c>
      <c r="E248" t="inlineStr">
        <is>
          <t>EUR</t>
        </is>
      </c>
      <c r="F248" t="n">
        <v>22796.74</v>
      </c>
      <c r="G248" t="inlineStr">
        <is>
          <t>Paid</t>
        </is>
      </c>
      <c r="H248" s="13" t="n">
        <v>45570</v>
      </c>
    </row>
    <row r="249">
      <c r="A249" t="n">
        <v>6247</v>
      </c>
      <c r="B249" t="inlineStr">
        <is>
          <t>Cust_C</t>
        </is>
      </c>
      <c r="C249" s="13" t="n">
        <v>45412</v>
      </c>
      <c r="D249" s="13" t="n">
        <v>45457</v>
      </c>
      <c r="E249" t="inlineStr">
        <is>
          <t>EUR</t>
        </is>
      </c>
      <c r="F249" t="n">
        <v>21994.85</v>
      </c>
      <c r="G249" t="inlineStr">
        <is>
          <t>Open</t>
        </is>
      </c>
    </row>
    <row r="250">
      <c r="A250" t="n">
        <v>6248</v>
      </c>
      <c r="B250" t="inlineStr">
        <is>
          <t>Cust_A</t>
        </is>
      </c>
      <c r="C250" s="13" t="n">
        <v>45442</v>
      </c>
      <c r="D250" s="13" t="n">
        <v>45472</v>
      </c>
      <c r="E250" t="inlineStr">
        <is>
          <t>USD</t>
        </is>
      </c>
      <c r="F250" t="n">
        <v>13733.12</v>
      </c>
      <c r="G250" t="inlineStr">
        <is>
          <t>Paid</t>
        </is>
      </c>
      <c r="H250" s="13" t="n">
        <v>45490</v>
      </c>
    </row>
    <row r="251">
      <c r="A251" t="n">
        <v>6249</v>
      </c>
      <c r="B251" t="inlineStr">
        <is>
          <t>Cust_B</t>
        </is>
      </c>
      <c r="C251" s="13" t="n">
        <v>45391</v>
      </c>
      <c r="D251" s="13" t="n">
        <v>45436</v>
      </c>
      <c r="E251" t="inlineStr">
        <is>
          <t>EUR</t>
        </is>
      </c>
      <c r="F251" t="n">
        <v>5940.4</v>
      </c>
      <c r="G251" t="inlineStr">
        <is>
          <t>Paid</t>
        </is>
      </c>
      <c r="H251" s="13" t="n">
        <v>45453</v>
      </c>
    </row>
    <row r="252">
      <c r="A252" t="n">
        <v>6250</v>
      </c>
      <c r="B252" t="inlineStr">
        <is>
          <t>Cust_A</t>
        </is>
      </c>
      <c r="C252" s="13" t="n">
        <v>45354</v>
      </c>
      <c r="D252" s="13" t="n">
        <v>45384</v>
      </c>
      <c r="E252" t="inlineStr">
        <is>
          <t>EUR</t>
        </is>
      </c>
      <c r="F252" t="n">
        <v>5790.49</v>
      </c>
      <c r="G252" t="inlineStr">
        <is>
          <t>Open</t>
        </is>
      </c>
    </row>
    <row r="253">
      <c r="A253" t="n">
        <v>6251</v>
      </c>
      <c r="B253" t="inlineStr">
        <is>
          <t>Cust_C</t>
        </is>
      </c>
      <c r="C253" s="13" t="n">
        <v>45322</v>
      </c>
      <c r="D253" s="13" t="n">
        <v>45352</v>
      </c>
      <c r="E253" t="inlineStr">
        <is>
          <t>EUR</t>
        </is>
      </c>
      <c r="F253" t="n">
        <v>10047.47</v>
      </c>
      <c r="G253" t="inlineStr">
        <is>
          <t>Overdue</t>
        </is>
      </c>
    </row>
    <row r="254">
      <c r="A254" t="n">
        <v>6252</v>
      </c>
      <c r="B254" t="inlineStr">
        <is>
          <t>Cust_C</t>
        </is>
      </c>
      <c r="C254" s="13" t="n">
        <v>45385</v>
      </c>
      <c r="D254" s="13" t="n">
        <v>45445</v>
      </c>
      <c r="E254" t="inlineStr">
        <is>
          <t>EUR</t>
        </is>
      </c>
      <c r="F254" t="n">
        <v>3009.14</v>
      </c>
      <c r="G254" t="inlineStr">
        <is>
          <t>Paid</t>
        </is>
      </c>
      <c r="H254" s="13" t="n">
        <v>45445</v>
      </c>
    </row>
    <row r="255">
      <c r="A255" t="n">
        <v>6253</v>
      </c>
      <c r="B255" t="inlineStr">
        <is>
          <t>Cust_A</t>
        </is>
      </c>
      <c r="C255" s="13" t="n">
        <v>45400</v>
      </c>
      <c r="D255" s="13" t="n">
        <v>45460</v>
      </c>
      <c r="E255" t="inlineStr">
        <is>
          <t>EUR</t>
        </is>
      </c>
      <c r="F255" t="n">
        <v>10052.03</v>
      </c>
      <c r="G255" t="inlineStr">
        <is>
          <t>Paid</t>
        </is>
      </c>
      <c r="H255" s="13" t="n">
        <v>45476</v>
      </c>
    </row>
    <row r="256">
      <c r="A256" t="n">
        <v>6254</v>
      </c>
      <c r="B256" t="inlineStr">
        <is>
          <t>Cust_B</t>
        </is>
      </c>
      <c r="C256" s="13" t="n">
        <v>45566</v>
      </c>
      <c r="D256" s="13" t="n">
        <v>45596</v>
      </c>
      <c r="E256" t="inlineStr">
        <is>
          <t>EUR</t>
        </is>
      </c>
      <c r="F256" t="n">
        <v>10695.24</v>
      </c>
      <c r="G256" t="inlineStr">
        <is>
          <t>Open</t>
        </is>
      </c>
    </row>
    <row r="257">
      <c r="A257" t="n">
        <v>6255</v>
      </c>
      <c r="B257" t="inlineStr">
        <is>
          <t>Cust_D</t>
        </is>
      </c>
      <c r="C257" s="13" t="n">
        <v>45547</v>
      </c>
      <c r="D257" s="13" t="n">
        <v>45577</v>
      </c>
      <c r="E257" t="inlineStr">
        <is>
          <t>EUR</t>
        </is>
      </c>
      <c r="F257" t="n">
        <v>1685.26</v>
      </c>
      <c r="G257" t="inlineStr">
        <is>
          <t>Paid</t>
        </is>
      </c>
      <c r="H257" s="13" t="n">
        <v>45596</v>
      </c>
    </row>
    <row r="258">
      <c r="A258" t="n">
        <v>6256</v>
      </c>
      <c r="B258" t="inlineStr">
        <is>
          <t>Cust_A</t>
        </is>
      </c>
      <c r="C258" s="13" t="n">
        <v>45567</v>
      </c>
      <c r="D258" s="13" t="n">
        <v>45612</v>
      </c>
      <c r="E258" t="inlineStr">
        <is>
          <t>EUR</t>
        </is>
      </c>
      <c r="F258" t="n">
        <v>3372.46</v>
      </c>
      <c r="G258" t="inlineStr">
        <is>
          <t>Open</t>
        </is>
      </c>
    </row>
    <row r="259">
      <c r="A259" t="n">
        <v>6257</v>
      </c>
      <c r="B259" t="inlineStr">
        <is>
          <t>Cust_B</t>
        </is>
      </c>
      <c r="C259" s="13" t="n">
        <v>45407</v>
      </c>
      <c r="D259" s="13" t="n">
        <v>45467</v>
      </c>
      <c r="E259" t="inlineStr">
        <is>
          <t>EUR</t>
        </is>
      </c>
      <c r="F259" t="n">
        <v>5126.58</v>
      </c>
      <c r="G259" t="inlineStr">
        <is>
          <t>Paid</t>
        </is>
      </c>
      <c r="H259" s="13" t="n">
        <v>45469</v>
      </c>
    </row>
    <row r="260">
      <c r="A260" t="n">
        <v>6258</v>
      </c>
      <c r="B260" t="inlineStr">
        <is>
          <t>Cust_D</t>
        </is>
      </c>
      <c r="C260" s="13" t="n">
        <v>45482</v>
      </c>
      <c r="D260" s="13" t="n">
        <v>45542</v>
      </c>
      <c r="E260" t="inlineStr">
        <is>
          <t>EUR</t>
        </is>
      </c>
      <c r="F260" t="n">
        <v>4204.6</v>
      </c>
      <c r="G260" t="inlineStr">
        <is>
          <t>Paid</t>
        </is>
      </c>
      <c r="H260" s="13" t="n">
        <v>45557</v>
      </c>
    </row>
    <row r="261">
      <c r="A261" t="n">
        <v>6259</v>
      </c>
      <c r="B261" t="inlineStr">
        <is>
          <t>Cust_D</t>
        </is>
      </c>
      <c r="C261" s="13" t="n">
        <v>45310</v>
      </c>
      <c r="D261" s="13" t="n">
        <v>45370</v>
      </c>
      <c r="E261" t="inlineStr">
        <is>
          <t>EUR</t>
        </is>
      </c>
      <c r="F261" t="n">
        <v>11576.54</v>
      </c>
      <c r="G261" t="inlineStr">
        <is>
          <t>Paid</t>
        </is>
      </c>
      <c r="H261" s="13" t="n">
        <v>45385</v>
      </c>
    </row>
    <row r="262">
      <c r="A262" t="n">
        <v>6260</v>
      </c>
      <c r="B262" t="inlineStr">
        <is>
          <t>Cust_D</t>
        </is>
      </c>
      <c r="C262" s="13" t="n">
        <v>45405</v>
      </c>
      <c r="D262" s="13" t="n">
        <v>45435</v>
      </c>
      <c r="E262" t="inlineStr">
        <is>
          <t>EUR</t>
        </is>
      </c>
      <c r="F262" t="n">
        <v>13005.04</v>
      </c>
      <c r="G262" t="inlineStr">
        <is>
          <t>Paid</t>
        </is>
      </c>
      <c r="H262" s="13" t="n">
        <v>45452</v>
      </c>
    </row>
    <row r="263">
      <c r="A263" t="n">
        <v>6261</v>
      </c>
      <c r="B263" t="inlineStr">
        <is>
          <t>Cust_B</t>
        </is>
      </c>
      <c r="C263" s="13" t="n">
        <v>45469</v>
      </c>
      <c r="D263" s="13" t="n">
        <v>45499</v>
      </c>
      <c r="E263" t="inlineStr">
        <is>
          <t>EUR</t>
        </is>
      </c>
      <c r="F263" t="n">
        <v>18000.43</v>
      </c>
      <c r="G263" t="inlineStr">
        <is>
          <t>Paid</t>
        </is>
      </c>
      <c r="H263" s="13" t="n">
        <v>45506</v>
      </c>
    </row>
    <row r="264">
      <c r="A264" t="n">
        <v>6262</v>
      </c>
      <c r="B264" t="inlineStr">
        <is>
          <t>Cust_B</t>
        </is>
      </c>
      <c r="C264" s="13" t="n">
        <v>45380</v>
      </c>
      <c r="D264" s="13" t="n">
        <v>45425</v>
      </c>
      <c r="E264" t="inlineStr">
        <is>
          <t>EUR</t>
        </is>
      </c>
      <c r="F264" t="n">
        <v>4128.46</v>
      </c>
      <c r="G264" t="inlineStr">
        <is>
          <t>Open</t>
        </is>
      </c>
    </row>
    <row r="265">
      <c r="A265" t="n">
        <v>6263</v>
      </c>
      <c r="B265" t="inlineStr">
        <is>
          <t>Cust_A</t>
        </is>
      </c>
      <c r="C265" s="13" t="n">
        <v>45591</v>
      </c>
      <c r="D265" s="13" t="n">
        <v>45621</v>
      </c>
      <c r="E265" t="inlineStr">
        <is>
          <t>EUR</t>
        </is>
      </c>
      <c r="F265" t="n">
        <v>2572.23</v>
      </c>
      <c r="G265" t="inlineStr">
        <is>
          <t>Paid</t>
        </is>
      </c>
      <c r="H265" s="13" t="n">
        <v>45634</v>
      </c>
    </row>
    <row r="266">
      <c r="A266" t="n">
        <v>6264</v>
      </c>
      <c r="B266" t="inlineStr">
        <is>
          <t>Cust_C</t>
        </is>
      </c>
      <c r="C266" s="13" t="n">
        <v>45299</v>
      </c>
      <c r="D266" s="13" t="n">
        <v>45344</v>
      </c>
      <c r="E266" t="inlineStr">
        <is>
          <t>EUR</t>
        </is>
      </c>
      <c r="F266" t="n">
        <v>17875.67</v>
      </c>
      <c r="G266" t="inlineStr">
        <is>
          <t>Paid</t>
        </is>
      </c>
      <c r="H266" s="13" t="n">
        <v>45364</v>
      </c>
    </row>
    <row r="267">
      <c r="A267" t="n">
        <v>6265</v>
      </c>
      <c r="B267" t="inlineStr">
        <is>
          <t>Cust_D</t>
        </is>
      </c>
      <c r="C267" s="13" t="n">
        <v>45583</v>
      </c>
      <c r="D267" s="13" t="n">
        <v>45628</v>
      </c>
      <c r="E267" t="inlineStr">
        <is>
          <t>JPY</t>
        </is>
      </c>
      <c r="F267" t="n">
        <v>2063882</v>
      </c>
      <c r="G267" t="inlineStr">
        <is>
          <t>Overdue</t>
        </is>
      </c>
    </row>
    <row r="268">
      <c r="A268" t="n">
        <v>6266</v>
      </c>
      <c r="B268" t="inlineStr">
        <is>
          <t>Cust_A</t>
        </is>
      </c>
      <c r="C268" s="13" t="n">
        <v>45490</v>
      </c>
      <c r="D268" s="13" t="n">
        <v>45520</v>
      </c>
      <c r="E268" t="inlineStr">
        <is>
          <t>JPY</t>
        </is>
      </c>
      <c r="F268" t="n">
        <v>1388323</v>
      </c>
      <c r="G268" t="inlineStr">
        <is>
          <t>Open</t>
        </is>
      </c>
    </row>
    <row r="269">
      <c r="A269" t="n">
        <v>6267</v>
      </c>
      <c r="B269" t="inlineStr">
        <is>
          <t>Cust_A</t>
        </is>
      </c>
      <c r="C269" s="13" t="n">
        <v>45513</v>
      </c>
      <c r="D269" s="13" t="n">
        <v>45573</v>
      </c>
      <c r="E269" t="inlineStr">
        <is>
          <t>EUR</t>
        </is>
      </c>
      <c r="F269" t="n">
        <v>5015.97</v>
      </c>
      <c r="G269" t="inlineStr">
        <is>
          <t>Paid</t>
        </is>
      </c>
      <c r="H269" s="13" t="n">
        <v>45574</v>
      </c>
    </row>
    <row r="270">
      <c r="A270" t="n">
        <v>6268</v>
      </c>
      <c r="B270" t="inlineStr">
        <is>
          <t>Cust_A</t>
        </is>
      </c>
      <c r="C270" s="13" t="n">
        <v>45500</v>
      </c>
      <c r="D270" s="13" t="n">
        <v>45530</v>
      </c>
      <c r="E270" t="inlineStr">
        <is>
          <t>EUR</t>
        </is>
      </c>
      <c r="F270" t="n">
        <v>10220.28</v>
      </c>
      <c r="G270" t="inlineStr">
        <is>
          <t>Overdue</t>
        </is>
      </c>
    </row>
    <row r="271">
      <c r="A271" t="n">
        <v>6269</v>
      </c>
      <c r="B271" t="inlineStr">
        <is>
          <t>Cust_B</t>
        </is>
      </c>
      <c r="C271" s="13" t="n">
        <v>45405</v>
      </c>
      <c r="D271" s="13" t="n">
        <v>45450</v>
      </c>
      <c r="E271" t="inlineStr">
        <is>
          <t>EUR</t>
        </is>
      </c>
      <c r="F271" t="n">
        <v>4641.29</v>
      </c>
      <c r="G271" t="inlineStr">
        <is>
          <t>Paid</t>
        </is>
      </c>
      <c r="H271" s="13" t="n">
        <v>45458</v>
      </c>
    </row>
    <row r="272">
      <c r="A272" t="n">
        <v>6270</v>
      </c>
      <c r="B272" t="inlineStr">
        <is>
          <t>Cust_A</t>
        </is>
      </c>
      <c r="C272" s="13" t="n">
        <v>45449</v>
      </c>
      <c r="D272" s="13" t="n">
        <v>45509</v>
      </c>
      <c r="E272" t="inlineStr">
        <is>
          <t>EUR</t>
        </is>
      </c>
      <c r="F272" t="n">
        <v>14323.33</v>
      </c>
      <c r="G272" t="inlineStr">
        <is>
          <t>Paid</t>
        </is>
      </c>
      <c r="H272" s="13" t="n">
        <v>45526</v>
      </c>
    </row>
    <row r="273">
      <c r="A273" t="n">
        <v>6271</v>
      </c>
      <c r="B273" t="inlineStr">
        <is>
          <t>Cust_A</t>
        </is>
      </c>
      <c r="C273" s="13" t="n">
        <v>45446</v>
      </c>
      <c r="D273" s="13" t="n">
        <v>45491</v>
      </c>
      <c r="E273" t="inlineStr">
        <is>
          <t>EUR</t>
        </is>
      </c>
      <c r="F273" t="n">
        <v>9770.33</v>
      </c>
      <c r="G273" t="inlineStr">
        <is>
          <t>Paid</t>
        </is>
      </c>
      <c r="H273" s="13" t="n">
        <v>45493</v>
      </c>
    </row>
    <row r="274">
      <c r="A274" t="n">
        <v>6272</v>
      </c>
      <c r="B274" t="inlineStr">
        <is>
          <t>Cust_B</t>
        </is>
      </c>
      <c r="C274" s="13" t="n">
        <v>45475</v>
      </c>
      <c r="D274" s="13" t="n">
        <v>45535</v>
      </c>
      <c r="E274" t="inlineStr">
        <is>
          <t>EUR</t>
        </is>
      </c>
      <c r="F274" t="n">
        <v>3551.5</v>
      </c>
      <c r="G274" t="inlineStr">
        <is>
          <t>Paid</t>
        </is>
      </c>
      <c r="H274" s="13" t="n">
        <v>45537</v>
      </c>
    </row>
    <row r="275">
      <c r="A275" t="n">
        <v>6273</v>
      </c>
      <c r="B275" t="inlineStr">
        <is>
          <t>Cust_D</t>
        </is>
      </c>
      <c r="C275" s="13" t="n">
        <v>45314</v>
      </c>
      <c r="D275" s="13" t="n">
        <v>45374</v>
      </c>
      <c r="E275" t="inlineStr">
        <is>
          <t>JPY</t>
        </is>
      </c>
      <c r="F275" t="n">
        <v>1090606</v>
      </c>
      <c r="G275" t="inlineStr">
        <is>
          <t>Overdue</t>
        </is>
      </c>
    </row>
    <row r="276">
      <c r="A276" t="n">
        <v>6274</v>
      </c>
      <c r="B276" t="inlineStr">
        <is>
          <t>Cust_D</t>
        </is>
      </c>
      <c r="C276" s="13" t="n">
        <v>45557</v>
      </c>
      <c r="D276" s="13" t="n">
        <v>45587</v>
      </c>
      <c r="E276" t="inlineStr">
        <is>
          <t>EUR</t>
        </is>
      </c>
      <c r="F276" t="n">
        <v>3522.89</v>
      </c>
      <c r="G276" t="inlineStr">
        <is>
          <t>Paid</t>
        </is>
      </c>
      <c r="H276" s="13" t="n">
        <v>45597</v>
      </c>
    </row>
    <row r="277">
      <c r="A277" t="n">
        <v>6275</v>
      </c>
      <c r="B277" t="inlineStr">
        <is>
          <t>Cust_D</t>
        </is>
      </c>
      <c r="C277" s="13" t="n">
        <v>45431</v>
      </c>
      <c r="D277" s="13" t="n">
        <v>45491</v>
      </c>
      <c r="E277" t="inlineStr">
        <is>
          <t>EUR</t>
        </is>
      </c>
      <c r="F277" t="n">
        <v>7558.24</v>
      </c>
      <c r="G277" t="inlineStr">
        <is>
          <t>Paid</t>
        </is>
      </c>
      <c r="H277" s="13" t="n">
        <v>45497</v>
      </c>
    </row>
    <row r="278">
      <c r="A278" t="n">
        <v>6276</v>
      </c>
      <c r="B278" t="inlineStr">
        <is>
          <t>Cust_D</t>
        </is>
      </c>
      <c r="C278" s="13" t="n">
        <v>45502</v>
      </c>
      <c r="D278" s="13" t="n">
        <v>45532</v>
      </c>
      <c r="E278" t="inlineStr">
        <is>
          <t>EUR</t>
        </is>
      </c>
      <c r="F278" t="n">
        <v>11844.73</v>
      </c>
      <c r="G278" t="inlineStr">
        <is>
          <t>Overdue</t>
        </is>
      </c>
    </row>
    <row r="279">
      <c r="A279" t="n">
        <v>6277</v>
      </c>
      <c r="B279" t="inlineStr">
        <is>
          <t>Cust_A</t>
        </is>
      </c>
      <c r="C279" s="13" t="n">
        <v>45608</v>
      </c>
      <c r="D279" s="13" t="n">
        <v>45653</v>
      </c>
      <c r="E279" t="inlineStr">
        <is>
          <t>EUR</t>
        </is>
      </c>
      <c r="F279" t="n">
        <v>7143.9</v>
      </c>
      <c r="G279" t="inlineStr">
        <is>
          <t>Paid</t>
        </is>
      </c>
      <c r="H279" s="13" t="n">
        <v>45669</v>
      </c>
    </row>
    <row r="280">
      <c r="A280" t="n">
        <v>6278</v>
      </c>
      <c r="B280" t="inlineStr">
        <is>
          <t>Cust_C</t>
        </is>
      </c>
      <c r="C280" s="13" t="n">
        <v>45393</v>
      </c>
      <c r="D280" s="13" t="n">
        <v>45438</v>
      </c>
      <c r="E280" t="inlineStr">
        <is>
          <t>EUR</t>
        </is>
      </c>
      <c r="F280" t="n">
        <v>1978.69</v>
      </c>
      <c r="G280" t="inlineStr">
        <is>
          <t>Paid</t>
        </is>
      </c>
      <c r="H280" s="13" t="n">
        <v>45449</v>
      </c>
    </row>
    <row r="281">
      <c r="A281" t="n">
        <v>6279</v>
      </c>
      <c r="B281" t="inlineStr">
        <is>
          <t>Cust_A</t>
        </is>
      </c>
      <c r="C281" s="13" t="n">
        <v>45457</v>
      </c>
      <c r="D281" s="13" t="n">
        <v>45517</v>
      </c>
      <c r="E281" t="inlineStr">
        <is>
          <t>JPY</t>
        </is>
      </c>
      <c r="F281" t="n">
        <v>510461</v>
      </c>
      <c r="G281" t="inlineStr">
        <is>
          <t>Open</t>
        </is>
      </c>
    </row>
    <row r="282">
      <c r="A282" t="n">
        <v>6280</v>
      </c>
      <c r="B282" t="inlineStr">
        <is>
          <t>Cust_B</t>
        </is>
      </c>
      <c r="C282" s="13" t="n">
        <v>45351</v>
      </c>
      <c r="D282" s="13" t="n">
        <v>45411</v>
      </c>
      <c r="E282" t="inlineStr">
        <is>
          <t>EUR</t>
        </is>
      </c>
      <c r="F282" t="n">
        <v>4331.5</v>
      </c>
      <c r="G282" t="inlineStr">
        <is>
          <t>Open</t>
        </is>
      </c>
    </row>
    <row r="283">
      <c r="A283" t="n">
        <v>6281</v>
      </c>
      <c r="B283" t="inlineStr">
        <is>
          <t>Cust_D</t>
        </is>
      </c>
      <c r="C283" s="13" t="n">
        <v>45459</v>
      </c>
      <c r="D283" s="13" t="n">
        <v>45504</v>
      </c>
      <c r="E283" t="inlineStr">
        <is>
          <t>EUR</t>
        </is>
      </c>
      <c r="F283" t="n">
        <v>4226.09</v>
      </c>
      <c r="G283" t="inlineStr">
        <is>
          <t>Paid</t>
        </is>
      </c>
      <c r="H283" s="13" t="n">
        <v>45511</v>
      </c>
    </row>
    <row r="284">
      <c r="A284" t="n">
        <v>6282</v>
      </c>
      <c r="B284" t="inlineStr">
        <is>
          <t>Cust_B</t>
        </is>
      </c>
      <c r="C284" s="13" t="n">
        <v>45438</v>
      </c>
      <c r="D284" s="13" t="n">
        <v>45498</v>
      </c>
      <c r="E284" t="inlineStr">
        <is>
          <t>EUR</t>
        </is>
      </c>
      <c r="F284" t="n">
        <v>15705.41</v>
      </c>
      <c r="G284" t="inlineStr">
        <is>
          <t>Open</t>
        </is>
      </c>
    </row>
    <row r="285">
      <c r="A285" t="n">
        <v>6283</v>
      </c>
      <c r="B285" t="inlineStr">
        <is>
          <t>Cust_C</t>
        </is>
      </c>
      <c r="C285" s="13" t="n">
        <v>45457</v>
      </c>
      <c r="D285" s="13" t="n">
        <v>45517</v>
      </c>
      <c r="E285" t="inlineStr">
        <is>
          <t>EUR</t>
        </is>
      </c>
      <c r="F285" t="n">
        <v>14175.06</v>
      </c>
      <c r="G285" t="inlineStr">
        <is>
          <t>Paid</t>
        </is>
      </c>
      <c r="H285" s="13" t="n">
        <v>45530</v>
      </c>
    </row>
    <row r="286">
      <c r="A286" t="n">
        <v>6284</v>
      </c>
      <c r="B286" t="inlineStr">
        <is>
          <t>Cust_A</t>
        </is>
      </c>
      <c r="C286" s="13" t="n">
        <v>45544</v>
      </c>
      <c r="D286" s="13" t="n">
        <v>45589</v>
      </c>
      <c r="E286" t="inlineStr">
        <is>
          <t>EUR</t>
        </is>
      </c>
      <c r="F286" t="n">
        <v>10721.07</v>
      </c>
      <c r="G286" t="inlineStr">
        <is>
          <t>Paid</t>
        </is>
      </c>
      <c r="H286" s="13" t="n">
        <v>45609</v>
      </c>
    </row>
    <row r="287">
      <c r="A287" t="n">
        <v>6285</v>
      </c>
      <c r="B287" t="inlineStr">
        <is>
          <t>Cust_D</t>
        </is>
      </c>
      <c r="C287" s="13" t="n">
        <v>45486</v>
      </c>
      <c r="D287" s="13" t="n">
        <v>45546</v>
      </c>
      <c r="E287" t="inlineStr">
        <is>
          <t>EUR</t>
        </is>
      </c>
      <c r="F287" t="n">
        <v>9356.59</v>
      </c>
      <c r="G287" t="inlineStr">
        <is>
          <t>Open</t>
        </is>
      </c>
    </row>
    <row r="288">
      <c r="A288" t="n">
        <v>6286</v>
      </c>
      <c r="B288" t="inlineStr">
        <is>
          <t>Cust_C</t>
        </is>
      </c>
      <c r="C288" s="13" t="n">
        <v>45327</v>
      </c>
      <c r="D288" s="13" t="n">
        <v>45372</v>
      </c>
      <c r="E288" t="inlineStr">
        <is>
          <t>EUR</t>
        </is>
      </c>
      <c r="F288" t="n">
        <v>8853.950000000001</v>
      </c>
      <c r="G288" t="inlineStr">
        <is>
          <t>Paid</t>
        </is>
      </c>
      <c r="H288" s="13" t="n">
        <v>45387</v>
      </c>
    </row>
    <row r="289">
      <c r="A289" t="n">
        <v>6287</v>
      </c>
      <c r="B289" t="inlineStr">
        <is>
          <t>Cust_B</t>
        </is>
      </c>
      <c r="C289" s="13" t="n">
        <v>45365</v>
      </c>
      <c r="D289" s="13" t="n">
        <v>45425</v>
      </c>
      <c r="E289" t="inlineStr">
        <is>
          <t>EUR</t>
        </is>
      </c>
      <c r="F289" t="n">
        <v>6017.23</v>
      </c>
      <c r="G289" t="inlineStr">
        <is>
          <t>Paid</t>
        </is>
      </c>
      <c r="H289" s="13" t="n">
        <v>45445</v>
      </c>
    </row>
    <row r="290">
      <c r="A290" t="n">
        <v>6288</v>
      </c>
      <c r="B290" t="inlineStr">
        <is>
          <t>Cust_D</t>
        </is>
      </c>
      <c r="C290" s="13" t="n">
        <v>45474</v>
      </c>
      <c r="D290" s="13" t="n">
        <v>45504</v>
      </c>
      <c r="E290" t="inlineStr">
        <is>
          <t>EUR</t>
        </is>
      </c>
      <c r="F290" t="n">
        <v>9424.57</v>
      </c>
      <c r="G290" t="inlineStr">
        <is>
          <t>Overdue</t>
        </is>
      </c>
    </row>
    <row r="291">
      <c r="A291" t="n">
        <v>6289</v>
      </c>
      <c r="B291" t="inlineStr">
        <is>
          <t>Cust_B</t>
        </is>
      </c>
      <c r="C291" s="13" t="n">
        <v>45319</v>
      </c>
      <c r="D291" s="13" t="n">
        <v>45379</v>
      </c>
      <c r="E291" t="inlineStr">
        <is>
          <t>EUR</t>
        </is>
      </c>
      <c r="F291" t="n">
        <v>3486.3</v>
      </c>
      <c r="G291" t="inlineStr">
        <is>
          <t>Paid</t>
        </is>
      </c>
      <c r="H291" s="13" t="n">
        <v>45395</v>
      </c>
    </row>
    <row r="292">
      <c r="A292" t="n">
        <v>6290</v>
      </c>
      <c r="B292" t="inlineStr">
        <is>
          <t>Cust_A</t>
        </is>
      </c>
      <c r="C292" s="13" t="n">
        <v>45322</v>
      </c>
      <c r="D292" s="13" t="n">
        <v>45352</v>
      </c>
      <c r="E292" t="inlineStr">
        <is>
          <t>EUR</t>
        </is>
      </c>
      <c r="F292" t="n">
        <v>5290.4</v>
      </c>
      <c r="G292" t="inlineStr">
        <is>
          <t>Paid</t>
        </is>
      </c>
      <c r="H292" s="13" t="n">
        <v>45372</v>
      </c>
    </row>
    <row r="293">
      <c r="A293" t="n">
        <v>6291</v>
      </c>
      <c r="B293" t="inlineStr">
        <is>
          <t>Cust_B</t>
        </is>
      </c>
      <c r="C293" s="13" t="n">
        <v>45572</v>
      </c>
      <c r="D293" s="13" t="n">
        <v>45602</v>
      </c>
      <c r="E293" t="inlineStr">
        <is>
          <t>EUR</t>
        </is>
      </c>
      <c r="F293" t="n">
        <v>20023.06</v>
      </c>
      <c r="G293" t="inlineStr">
        <is>
          <t>Paid</t>
        </is>
      </c>
      <c r="H293" s="13" t="n">
        <v>45603</v>
      </c>
    </row>
    <row r="294">
      <c r="A294" t="n">
        <v>6292</v>
      </c>
      <c r="B294" t="inlineStr">
        <is>
          <t>Cust_D</t>
        </is>
      </c>
      <c r="C294" s="13" t="n">
        <v>45536</v>
      </c>
      <c r="D294" s="13" t="n">
        <v>45581</v>
      </c>
      <c r="E294" t="inlineStr">
        <is>
          <t>EUR</t>
        </is>
      </c>
      <c r="F294" t="n">
        <v>8952.190000000001</v>
      </c>
      <c r="G294" t="inlineStr">
        <is>
          <t>Paid</t>
        </is>
      </c>
      <c r="H294" s="13" t="n">
        <v>45585</v>
      </c>
    </row>
    <row r="295">
      <c r="A295" t="n">
        <v>6293</v>
      </c>
      <c r="B295" t="inlineStr">
        <is>
          <t>Cust_A</t>
        </is>
      </c>
      <c r="C295" s="13" t="n">
        <v>45413</v>
      </c>
      <c r="D295" s="13" t="n">
        <v>45473</v>
      </c>
      <c r="E295" t="inlineStr">
        <is>
          <t>EUR</t>
        </is>
      </c>
      <c r="F295" t="n">
        <v>2203.12</v>
      </c>
      <c r="G295" t="inlineStr">
        <is>
          <t>Paid</t>
        </is>
      </c>
      <c r="H295" s="13" t="n">
        <v>45475</v>
      </c>
    </row>
    <row r="296">
      <c r="A296" t="n">
        <v>6294</v>
      </c>
      <c r="B296" t="inlineStr">
        <is>
          <t>Cust_D</t>
        </is>
      </c>
      <c r="C296" s="13" t="n">
        <v>45301</v>
      </c>
      <c r="D296" s="13" t="n">
        <v>45361</v>
      </c>
      <c r="E296" t="inlineStr">
        <is>
          <t>EUR</t>
        </is>
      </c>
      <c r="F296" t="n">
        <v>16141.06</v>
      </c>
      <c r="G296" t="inlineStr">
        <is>
          <t>Paid</t>
        </is>
      </c>
      <c r="H296" s="13" t="n">
        <v>45365</v>
      </c>
    </row>
    <row r="297">
      <c r="A297" t="n">
        <v>6295</v>
      </c>
      <c r="B297" t="inlineStr">
        <is>
          <t>Cust_B</t>
        </is>
      </c>
      <c r="C297" s="13" t="n">
        <v>45560</v>
      </c>
      <c r="D297" s="13" t="n">
        <v>45605</v>
      </c>
      <c r="E297" t="inlineStr">
        <is>
          <t>EUR</t>
        </is>
      </c>
      <c r="F297" t="n">
        <v>9898.85</v>
      </c>
      <c r="G297" t="inlineStr">
        <is>
          <t>Paid</t>
        </is>
      </c>
      <c r="H297" s="13" t="n">
        <v>45607</v>
      </c>
    </row>
    <row r="298">
      <c r="A298" t="n">
        <v>6296</v>
      </c>
      <c r="B298" t="inlineStr">
        <is>
          <t>Cust_B</t>
        </is>
      </c>
      <c r="C298" s="13" t="n">
        <v>45301</v>
      </c>
      <c r="D298" s="13" t="n">
        <v>45346</v>
      </c>
      <c r="E298" t="inlineStr">
        <is>
          <t>EUR</t>
        </is>
      </c>
      <c r="F298" t="n">
        <v>9535.360000000001</v>
      </c>
      <c r="G298" t="inlineStr">
        <is>
          <t>Open</t>
        </is>
      </c>
    </row>
    <row r="299">
      <c r="A299" t="n">
        <v>6297</v>
      </c>
      <c r="B299" t="inlineStr">
        <is>
          <t>Cust_D</t>
        </is>
      </c>
      <c r="C299" s="13" t="n">
        <v>45556</v>
      </c>
      <c r="D299" s="13" t="n">
        <v>45586</v>
      </c>
      <c r="E299" t="inlineStr">
        <is>
          <t>USD</t>
        </is>
      </c>
      <c r="F299" t="n">
        <v>2850.75</v>
      </c>
      <c r="G299" t="inlineStr">
        <is>
          <t>Paid</t>
        </is>
      </c>
      <c r="H299" s="13" t="n">
        <v>45598</v>
      </c>
    </row>
    <row r="300">
      <c r="A300" t="n">
        <v>6298</v>
      </c>
      <c r="B300" t="inlineStr">
        <is>
          <t>Cust_B</t>
        </is>
      </c>
      <c r="C300" s="13" t="n">
        <v>45568</v>
      </c>
      <c r="D300" s="13" t="n">
        <v>45613</v>
      </c>
      <c r="E300" t="inlineStr">
        <is>
          <t>EUR</t>
        </is>
      </c>
      <c r="F300" t="n">
        <v>13435.01</v>
      </c>
      <c r="G300" t="inlineStr">
        <is>
          <t>Overdue</t>
        </is>
      </c>
    </row>
    <row r="301">
      <c r="A301" t="n">
        <v>6299</v>
      </c>
      <c r="B301" t="inlineStr">
        <is>
          <t>Cust_D</t>
        </is>
      </c>
      <c r="C301" s="13" t="n">
        <v>45507</v>
      </c>
      <c r="D301" s="13" t="n">
        <v>45552</v>
      </c>
      <c r="E301" t="inlineStr">
        <is>
          <t>EUR</t>
        </is>
      </c>
      <c r="F301" t="n">
        <v>11006.46</v>
      </c>
      <c r="G301" t="inlineStr">
        <is>
          <t>Paid</t>
        </is>
      </c>
      <c r="H301" s="13" t="n">
        <v>45571</v>
      </c>
    </row>
    <row r="302">
      <c r="A302" t="n">
        <v>6300</v>
      </c>
      <c r="B302" t="inlineStr">
        <is>
          <t>Cust_C</t>
        </is>
      </c>
      <c r="C302" s="13" t="n">
        <v>45471</v>
      </c>
      <c r="D302" s="13" t="n">
        <v>45531</v>
      </c>
      <c r="E302" t="inlineStr">
        <is>
          <t>EUR</t>
        </is>
      </c>
      <c r="F302" t="n">
        <v>3901.75</v>
      </c>
      <c r="G302" t="inlineStr">
        <is>
          <t>Paid</t>
        </is>
      </c>
      <c r="H302" s="13" t="n">
        <v>45535</v>
      </c>
    </row>
    <row r="303">
      <c r="A303" t="n">
        <v>6301</v>
      </c>
      <c r="B303" t="inlineStr">
        <is>
          <t>Cust_D</t>
        </is>
      </c>
      <c r="C303" s="13" t="n">
        <v>45344</v>
      </c>
      <c r="D303" s="13" t="n">
        <v>45404</v>
      </c>
      <c r="E303" t="inlineStr">
        <is>
          <t>EUR</t>
        </is>
      </c>
      <c r="F303" t="n">
        <v>2232.62</v>
      </c>
      <c r="G303" t="inlineStr">
        <is>
          <t>Open</t>
        </is>
      </c>
    </row>
    <row r="304">
      <c r="A304" t="n">
        <v>6302</v>
      </c>
      <c r="B304" t="inlineStr">
        <is>
          <t>Cust_D</t>
        </is>
      </c>
      <c r="C304" s="13" t="n">
        <v>45334</v>
      </c>
      <c r="D304" s="13" t="n">
        <v>45379</v>
      </c>
      <c r="E304" t="inlineStr">
        <is>
          <t>EUR</t>
        </is>
      </c>
      <c r="F304" t="n">
        <v>8571.6</v>
      </c>
      <c r="G304" t="inlineStr">
        <is>
          <t>Paid</t>
        </is>
      </c>
      <c r="H304" s="13" t="n">
        <v>45389</v>
      </c>
    </row>
    <row r="305">
      <c r="A305" t="n">
        <v>6303</v>
      </c>
      <c r="B305" t="inlineStr">
        <is>
          <t>Cust_B</t>
        </is>
      </c>
      <c r="C305" s="13" t="n">
        <v>45581</v>
      </c>
      <c r="D305" s="13" t="n">
        <v>45611</v>
      </c>
      <c r="E305" t="inlineStr">
        <is>
          <t>EUR</t>
        </is>
      </c>
      <c r="F305" t="n">
        <v>14991.85</v>
      </c>
      <c r="G305" t="inlineStr">
        <is>
          <t>Open</t>
        </is>
      </c>
    </row>
    <row r="306">
      <c r="A306" t="n">
        <v>6304</v>
      </c>
      <c r="B306" t="inlineStr">
        <is>
          <t>Cust_C</t>
        </is>
      </c>
      <c r="C306" s="13" t="n">
        <v>45504</v>
      </c>
      <c r="D306" s="13" t="n">
        <v>45549</v>
      </c>
      <c r="E306" t="inlineStr">
        <is>
          <t>EUR</t>
        </is>
      </c>
      <c r="F306" t="n">
        <v>17824.71</v>
      </c>
      <c r="G306" t="inlineStr">
        <is>
          <t>Paid</t>
        </is>
      </c>
      <c r="H306" s="13" t="n">
        <v>45563</v>
      </c>
    </row>
    <row r="307">
      <c r="A307" t="n">
        <v>6305</v>
      </c>
      <c r="B307" t="inlineStr">
        <is>
          <t>Cust_D</t>
        </is>
      </c>
      <c r="C307" s="13" t="n">
        <v>45449</v>
      </c>
      <c r="D307" s="13" t="n">
        <v>45494</v>
      </c>
      <c r="E307" t="inlineStr">
        <is>
          <t>JPY</t>
        </is>
      </c>
      <c r="F307" t="n">
        <v>2124556</v>
      </c>
      <c r="G307" t="inlineStr">
        <is>
          <t>Paid</t>
        </is>
      </c>
      <c r="H307" s="13" t="n">
        <v>45501</v>
      </c>
    </row>
    <row r="308">
      <c r="A308" t="n">
        <v>6306</v>
      </c>
      <c r="B308" t="inlineStr">
        <is>
          <t>Cust_B</t>
        </is>
      </c>
      <c r="C308" s="13" t="n">
        <v>45464</v>
      </c>
      <c r="D308" s="13" t="n">
        <v>45524</v>
      </c>
      <c r="E308" t="inlineStr">
        <is>
          <t>EUR</t>
        </is>
      </c>
      <c r="F308" t="n">
        <v>4024.64</v>
      </c>
      <c r="G308" t="inlineStr">
        <is>
          <t>Paid</t>
        </is>
      </c>
      <c r="H308" s="13" t="n">
        <v>45531</v>
      </c>
    </row>
    <row r="309">
      <c r="A309" t="n">
        <v>6307</v>
      </c>
      <c r="B309" t="inlineStr">
        <is>
          <t>Cust_A</t>
        </is>
      </c>
      <c r="C309" s="13" t="n">
        <v>45330</v>
      </c>
      <c r="D309" s="13" t="n">
        <v>45360</v>
      </c>
      <c r="E309" t="inlineStr">
        <is>
          <t>EUR</t>
        </is>
      </c>
      <c r="F309" t="n">
        <v>7118.63</v>
      </c>
      <c r="G309" t="inlineStr">
        <is>
          <t>Paid</t>
        </is>
      </c>
      <c r="H309" s="13" t="n">
        <v>45373</v>
      </c>
    </row>
    <row r="310">
      <c r="A310" t="n">
        <v>6308</v>
      </c>
      <c r="B310" t="inlineStr">
        <is>
          <t>Cust_D</t>
        </is>
      </c>
      <c r="C310" s="13" t="n">
        <v>45536</v>
      </c>
      <c r="D310" s="13" t="n">
        <v>45566</v>
      </c>
      <c r="E310" t="inlineStr">
        <is>
          <t>EUR</t>
        </is>
      </c>
      <c r="F310" t="n">
        <v>6136.08</v>
      </c>
      <c r="G310" t="inlineStr">
        <is>
          <t>Paid</t>
        </is>
      </c>
      <c r="H310" s="13" t="n">
        <v>45566</v>
      </c>
    </row>
    <row r="311">
      <c r="A311" t="n">
        <v>6309</v>
      </c>
      <c r="B311" t="inlineStr">
        <is>
          <t>Cust_B</t>
        </is>
      </c>
      <c r="C311" s="13" t="n">
        <v>45315</v>
      </c>
      <c r="D311" s="13" t="n">
        <v>45360</v>
      </c>
      <c r="E311" t="inlineStr">
        <is>
          <t>EUR</t>
        </is>
      </c>
      <c r="F311" t="n">
        <v>21184.64</v>
      </c>
      <c r="G311" t="inlineStr">
        <is>
          <t>Paid</t>
        </is>
      </c>
      <c r="H311" s="13" t="n">
        <v>45370</v>
      </c>
    </row>
    <row r="312">
      <c r="A312" t="n">
        <v>6310</v>
      </c>
      <c r="B312" t="inlineStr">
        <is>
          <t>Cust_B</t>
        </is>
      </c>
      <c r="C312" s="13" t="n">
        <v>45435</v>
      </c>
      <c r="D312" s="13" t="n">
        <v>45495</v>
      </c>
      <c r="E312" t="inlineStr">
        <is>
          <t>JPY</t>
        </is>
      </c>
      <c r="F312" t="n">
        <v>468487</v>
      </c>
      <c r="G312" t="inlineStr">
        <is>
          <t>Paid</t>
        </is>
      </c>
      <c r="H312" s="13" t="n">
        <v>45498</v>
      </c>
    </row>
    <row r="313">
      <c r="A313" t="n">
        <v>6311</v>
      </c>
      <c r="B313" t="inlineStr">
        <is>
          <t>Cust_B</t>
        </is>
      </c>
      <c r="C313" s="13" t="n">
        <v>45582</v>
      </c>
      <c r="D313" s="13" t="n">
        <v>45612</v>
      </c>
      <c r="E313" t="inlineStr">
        <is>
          <t>EUR</t>
        </is>
      </c>
      <c r="F313" t="n">
        <v>8623.360000000001</v>
      </c>
      <c r="G313" t="inlineStr">
        <is>
          <t>Open</t>
        </is>
      </c>
    </row>
    <row r="314">
      <c r="A314" t="n">
        <v>6312</v>
      </c>
      <c r="B314" t="inlineStr">
        <is>
          <t>Cust_C</t>
        </is>
      </c>
      <c r="C314" s="13" t="n">
        <v>45604</v>
      </c>
      <c r="D314" s="13" t="n">
        <v>45664</v>
      </c>
      <c r="E314" t="inlineStr">
        <is>
          <t>EUR</t>
        </is>
      </c>
      <c r="F314" t="n">
        <v>11257.17</v>
      </c>
      <c r="G314" t="inlineStr">
        <is>
          <t>Overdue</t>
        </is>
      </c>
    </row>
    <row r="315">
      <c r="A315" t="n">
        <v>6313</v>
      </c>
      <c r="B315" t="inlineStr">
        <is>
          <t>Cust_B</t>
        </is>
      </c>
      <c r="C315" s="13" t="n">
        <v>45400</v>
      </c>
      <c r="D315" s="13" t="n">
        <v>45460</v>
      </c>
      <c r="E315" t="inlineStr">
        <is>
          <t>EUR</t>
        </is>
      </c>
      <c r="F315" t="n">
        <v>6932.92</v>
      </c>
      <c r="G315" t="inlineStr">
        <is>
          <t>Open</t>
        </is>
      </c>
    </row>
    <row r="316">
      <c r="A316" t="n">
        <v>6314</v>
      </c>
      <c r="B316" t="inlineStr">
        <is>
          <t>Cust_A</t>
        </is>
      </c>
      <c r="C316" s="13" t="n">
        <v>45484</v>
      </c>
      <c r="D316" s="13" t="n">
        <v>45529</v>
      </c>
      <c r="E316" t="inlineStr">
        <is>
          <t>EUR</t>
        </is>
      </c>
      <c r="F316" t="n">
        <v>12118.1</v>
      </c>
      <c r="G316" t="inlineStr">
        <is>
          <t>Open</t>
        </is>
      </c>
    </row>
    <row r="317">
      <c r="A317" t="n">
        <v>6315</v>
      </c>
      <c r="B317" t="inlineStr">
        <is>
          <t>Cust_B</t>
        </is>
      </c>
      <c r="C317" s="13" t="n">
        <v>45341</v>
      </c>
      <c r="D317" s="13" t="n">
        <v>45371</v>
      </c>
      <c r="E317" t="inlineStr">
        <is>
          <t>EUR</t>
        </is>
      </c>
      <c r="F317" t="n">
        <v>8749.450000000001</v>
      </c>
      <c r="G317" t="inlineStr">
        <is>
          <t>Paid</t>
        </is>
      </c>
      <c r="H317" s="13" t="n">
        <v>45372</v>
      </c>
    </row>
    <row r="318">
      <c r="A318" t="n">
        <v>6316</v>
      </c>
      <c r="B318" t="inlineStr">
        <is>
          <t>Cust_C</t>
        </is>
      </c>
      <c r="C318" s="13" t="n">
        <v>45357</v>
      </c>
      <c r="D318" s="13" t="n">
        <v>45402</v>
      </c>
      <c r="E318" t="inlineStr">
        <is>
          <t>EUR</t>
        </is>
      </c>
      <c r="F318" t="n">
        <v>17280.15</v>
      </c>
      <c r="G318" t="inlineStr">
        <is>
          <t>Paid</t>
        </is>
      </c>
      <c r="H318" s="13" t="n">
        <v>45404</v>
      </c>
    </row>
    <row r="319">
      <c r="A319" t="n">
        <v>6317</v>
      </c>
      <c r="B319" t="inlineStr">
        <is>
          <t>Cust_B</t>
        </is>
      </c>
      <c r="C319" s="13" t="n">
        <v>45511</v>
      </c>
      <c r="D319" s="13" t="n">
        <v>45541</v>
      </c>
      <c r="E319" t="inlineStr">
        <is>
          <t>EUR</t>
        </is>
      </c>
      <c r="F319" t="n">
        <v>11420.37</v>
      </c>
      <c r="G319" t="inlineStr">
        <is>
          <t>Paid</t>
        </is>
      </c>
      <c r="H319" s="13" t="n">
        <v>45558</v>
      </c>
    </row>
    <row r="320">
      <c r="A320" t="n">
        <v>6318</v>
      </c>
      <c r="B320" t="inlineStr">
        <is>
          <t>Cust_C</t>
        </is>
      </c>
      <c r="C320" s="13" t="n">
        <v>45380</v>
      </c>
      <c r="D320" s="13" t="n">
        <v>45425</v>
      </c>
      <c r="E320" t="inlineStr">
        <is>
          <t>EUR</t>
        </is>
      </c>
      <c r="F320" t="n">
        <v>1290.9</v>
      </c>
      <c r="G320" t="inlineStr">
        <is>
          <t>Paid</t>
        </is>
      </c>
      <c r="H320" s="13" t="n">
        <v>45436</v>
      </c>
    </row>
    <row r="321">
      <c r="A321" t="n">
        <v>6319</v>
      </c>
      <c r="B321" t="inlineStr">
        <is>
          <t>Cust_A</t>
        </is>
      </c>
      <c r="C321" s="13" t="n">
        <v>45588</v>
      </c>
      <c r="D321" s="13" t="n">
        <v>45633</v>
      </c>
      <c r="E321" t="inlineStr">
        <is>
          <t>EUR</t>
        </is>
      </c>
      <c r="F321" t="n">
        <v>5657.26</v>
      </c>
      <c r="G321" t="inlineStr">
        <is>
          <t>Paid</t>
        </is>
      </c>
      <c r="H321" s="13" t="n">
        <v>45649</v>
      </c>
    </row>
    <row r="322">
      <c r="A322" t="n">
        <v>6320</v>
      </c>
      <c r="B322" t="inlineStr">
        <is>
          <t>Cust_D</t>
        </is>
      </c>
      <c r="C322" s="13" t="n">
        <v>45301</v>
      </c>
      <c r="D322" s="13" t="n">
        <v>45346</v>
      </c>
      <c r="E322" t="inlineStr">
        <is>
          <t>EUR</t>
        </is>
      </c>
      <c r="F322" t="n">
        <v>9325.040000000001</v>
      </c>
      <c r="G322" t="inlineStr">
        <is>
          <t>Paid</t>
        </is>
      </c>
      <c r="H322" s="13" t="n">
        <v>45354</v>
      </c>
    </row>
    <row r="323">
      <c r="A323" t="n">
        <v>6321</v>
      </c>
      <c r="B323" t="inlineStr">
        <is>
          <t>Cust_B</t>
        </is>
      </c>
      <c r="C323" s="13" t="n">
        <v>45373</v>
      </c>
      <c r="D323" s="13" t="n">
        <v>45418</v>
      </c>
      <c r="E323" t="inlineStr">
        <is>
          <t>EUR</t>
        </is>
      </c>
      <c r="F323" t="n">
        <v>5023.92</v>
      </c>
      <c r="G323" t="inlineStr">
        <is>
          <t>Paid</t>
        </is>
      </c>
      <c r="H323" s="13" t="n">
        <v>45422</v>
      </c>
    </row>
    <row r="324">
      <c r="A324" t="n">
        <v>6322</v>
      </c>
      <c r="B324" t="inlineStr">
        <is>
          <t>Cust_D</t>
        </is>
      </c>
      <c r="C324" s="13" t="n">
        <v>45607</v>
      </c>
      <c r="D324" s="13" t="n">
        <v>45652</v>
      </c>
      <c r="E324" t="inlineStr">
        <is>
          <t>EUR</t>
        </is>
      </c>
      <c r="F324" t="n">
        <v>11169.61</v>
      </c>
      <c r="G324" t="inlineStr">
        <is>
          <t>Overdue</t>
        </is>
      </c>
    </row>
    <row r="325">
      <c r="A325" t="n">
        <v>6323</v>
      </c>
      <c r="B325" t="inlineStr">
        <is>
          <t>Cust_C</t>
        </is>
      </c>
      <c r="C325" s="13" t="n">
        <v>45522</v>
      </c>
      <c r="D325" s="13" t="n">
        <v>45582</v>
      </c>
      <c r="E325" t="inlineStr">
        <is>
          <t>EUR</t>
        </is>
      </c>
      <c r="F325" t="n">
        <v>4344.61</v>
      </c>
      <c r="G325" t="inlineStr">
        <is>
          <t>Open</t>
        </is>
      </c>
    </row>
    <row r="326">
      <c r="A326" t="n">
        <v>6324</v>
      </c>
      <c r="B326" t="inlineStr">
        <is>
          <t>Cust_A</t>
        </is>
      </c>
      <c r="C326" s="13" t="n">
        <v>45422</v>
      </c>
      <c r="D326" s="13" t="n">
        <v>45467</v>
      </c>
      <c r="E326" t="inlineStr">
        <is>
          <t>EUR</t>
        </is>
      </c>
      <c r="F326" t="n">
        <v>2065.62</v>
      </c>
      <c r="G326" t="inlineStr">
        <is>
          <t>Paid</t>
        </is>
      </c>
      <c r="H326" s="13" t="n">
        <v>45474</v>
      </c>
    </row>
    <row r="327">
      <c r="A327" t="n">
        <v>6325</v>
      </c>
      <c r="B327" t="inlineStr">
        <is>
          <t>Cust_D</t>
        </is>
      </c>
      <c r="C327" s="13" t="n">
        <v>45483</v>
      </c>
      <c r="D327" s="13" t="n">
        <v>45543</v>
      </c>
      <c r="E327" t="inlineStr">
        <is>
          <t>EUR</t>
        </is>
      </c>
      <c r="F327" t="n">
        <v>6139.38</v>
      </c>
      <c r="G327" t="inlineStr">
        <is>
          <t>Open</t>
        </is>
      </c>
    </row>
    <row r="328">
      <c r="A328" t="n">
        <v>6326</v>
      </c>
      <c r="B328" t="inlineStr">
        <is>
          <t>Cust_B</t>
        </is>
      </c>
      <c r="C328" s="13" t="n">
        <v>45314</v>
      </c>
      <c r="D328" s="13" t="n">
        <v>45344</v>
      </c>
      <c r="E328" t="inlineStr">
        <is>
          <t>EUR</t>
        </is>
      </c>
      <c r="F328" t="n">
        <v>11181.57</v>
      </c>
      <c r="G328" t="inlineStr">
        <is>
          <t>Paid</t>
        </is>
      </c>
      <c r="H328" s="13" t="n">
        <v>45348</v>
      </c>
    </row>
    <row r="329">
      <c r="A329" t="n">
        <v>6327</v>
      </c>
      <c r="B329" t="inlineStr">
        <is>
          <t>Cust_A</t>
        </is>
      </c>
      <c r="C329" s="13" t="n">
        <v>45406</v>
      </c>
      <c r="D329" s="13" t="n">
        <v>45466</v>
      </c>
      <c r="E329" t="inlineStr">
        <is>
          <t>EUR</t>
        </is>
      </c>
      <c r="F329" t="n">
        <v>17119.95</v>
      </c>
      <c r="G329" t="inlineStr">
        <is>
          <t>Paid</t>
        </is>
      </c>
      <c r="H329" s="13" t="n">
        <v>45473</v>
      </c>
    </row>
    <row r="330">
      <c r="A330" t="n">
        <v>6328</v>
      </c>
      <c r="B330" t="inlineStr">
        <is>
          <t>Cust_B</t>
        </is>
      </c>
      <c r="C330" s="13" t="n">
        <v>45299</v>
      </c>
      <c r="D330" s="13" t="n">
        <v>45359</v>
      </c>
      <c r="E330" t="inlineStr">
        <is>
          <t>JPY</t>
        </is>
      </c>
      <c r="F330" t="n">
        <v>1385729</v>
      </c>
      <c r="G330" t="inlineStr">
        <is>
          <t>Open</t>
        </is>
      </c>
    </row>
    <row r="331">
      <c r="A331" t="n">
        <v>6329</v>
      </c>
      <c r="B331" t="inlineStr">
        <is>
          <t>Cust_B</t>
        </is>
      </c>
      <c r="C331" s="13" t="n">
        <v>45635</v>
      </c>
      <c r="D331" s="13" t="n">
        <v>45665</v>
      </c>
      <c r="E331" t="inlineStr">
        <is>
          <t>EUR</t>
        </is>
      </c>
      <c r="F331" t="n">
        <v>6061.84</v>
      </c>
      <c r="G331" t="inlineStr">
        <is>
          <t>Paid</t>
        </is>
      </c>
      <c r="H331" s="13" t="n">
        <v>45684</v>
      </c>
    </row>
    <row r="332">
      <c r="A332" t="n">
        <v>6330</v>
      </c>
      <c r="B332" t="inlineStr">
        <is>
          <t>Cust_D</t>
        </is>
      </c>
      <c r="C332" s="13" t="n">
        <v>45546</v>
      </c>
      <c r="D332" s="13" t="n">
        <v>45576</v>
      </c>
      <c r="E332" t="inlineStr">
        <is>
          <t>EUR</t>
        </is>
      </c>
      <c r="F332" t="n">
        <v>16399.2</v>
      </c>
      <c r="G332" t="inlineStr">
        <is>
          <t>Open</t>
        </is>
      </c>
    </row>
    <row r="333">
      <c r="A333" t="n">
        <v>6331</v>
      </c>
      <c r="B333" t="inlineStr">
        <is>
          <t>Cust_A</t>
        </is>
      </c>
      <c r="C333" s="13" t="n">
        <v>45618</v>
      </c>
      <c r="D333" s="13" t="n">
        <v>45663</v>
      </c>
      <c r="E333" t="inlineStr">
        <is>
          <t>EUR</t>
        </is>
      </c>
      <c r="F333" t="n">
        <v>5111.74</v>
      </c>
      <c r="G333" t="inlineStr">
        <is>
          <t>Overdue</t>
        </is>
      </c>
    </row>
    <row r="334">
      <c r="A334" t="n">
        <v>6332</v>
      </c>
      <c r="B334" t="inlineStr">
        <is>
          <t>Cust_C</t>
        </is>
      </c>
      <c r="C334" s="13" t="n">
        <v>45630</v>
      </c>
      <c r="D334" s="13" t="n">
        <v>45690</v>
      </c>
      <c r="E334" t="inlineStr">
        <is>
          <t>EUR</t>
        </is>
      </c>
      <c r="F334" t="n">
        <v>6235.28</v>
      </c>
      <c r="G334" t="inlineStr">
        <is>
          <t>Open</t>
        </is>
      </c>
    </row>
    <row r="335">
      <c r="A335" t="n">
        <v>6333</v>
      </c>
      <c r="B335" t="inlineStr">
        <is>
          <t>Cust_C</t>
        </is>
      </c>
      <c r="C335" s="13" t="n">
        <v>45464</v>
      </c>
      <c r="D335" s="13" t="n">
        <v>45524</v>
      </c>
      <c r="E335" t="inlineStr">
        <is>
          <t>EUR</t>
        </is>
      </c>
      <c r="F335" t="n">
        <v>25923.22</v>
      </c>
      <c r="G335" t="inlineStr">
        <is>
          <t>Paid</t>
        </is>
      </c>
      <c r="H335" s="13" t="n">
        <v>45544</v>
      </c>
    </row>
    <row r="336">
      <c r="A336" t="n">
        <v>6334</v>
      </c>
      <c r="B336" t="inlineStr">
        <is>
          <t>Cust_D</t>
        </is>
      </c>
      <c r="C336" s="13" t="n">
        <v>45580</v>
      </c>
      <c r="D336" s="13" t="n">
        <v>45640</v>
      </c>
      <c r="E336" t="inlineStr">
        <is>
          <t>JPY</t>
        </is>
      </c>
      <c r="F336" t="n">
        <v>1053052</v>
      </c>
      <c r="G336" t="inlineStr">
        <is>
          <t>Paid</t>
        </is>
      </c>
      <c r="H336" s="13" t="n">
        <v>45641</v>
      </c>
    </row>
    <row r="337">
      <c r="A337" t="n">
        <v>6335</v>
      </c>
      <c r="B337" t="inlineStr">
        <is>
          <t>Cust_A</t>
        </is>
      </c>
      <c r="C337" s="13" t="n">
        <v>45645</v>
      </c>
      <c r="D337" s="13" t="n">
        <v>45705</v>
      </c>
      <c r="E337" t="inlineStr">
        <is>
          <t>EUR</t>
        </is>
      </c>
      <c r="F337" t="n">
        <v>13259.61</v>
      </c>
      <c r="G337" t="inlineStr">
        <is>
          <t>Paid</t>
        </is>
      </c>
      <c r="H337" s="13" t="n">
        <v>45717</v>
      </c>
    </row>
    <row r="338">
      <c r="A338" t="n">
        <v>6336</v>
      </c>
      <c r="B338" t="inlineStr">
        <is>
          <t>Cust_B</t>
        </is>
      </c>
      <c r="C338" s="13" t="n">
        <v>45453</v>
      </c>
      <c r="D338" s="13" t="n">
        <v>45498</v>
      </c>
      <c r="E338" t="inlineStr">
        <is>
          <t>EUR</t>
        </is>
      </c>
      <c r="F338" t="n">
        <v>9665.030000000001</v>
      </c>
      <c r="G338" t="inlineStr">
        <is>
          <t>Paid</t>
        </is>
      </c>
      <c r="H338" s="13" t="n">
        <v>45509</v>
      </c>
    </row>
    <row r="339">
      <c r="A339" t="n">
        <v>6337</v>
      </c>
      <c r="B339" t="inlineStr">
        <is>
          <t>Cust_D</t>
        </is>
      </c>
      <c r="C339" s="13" t="n">
        <v>45307</v>
      </c>
      <c r="D339" s="13" t="n">
        <v>45352</v>
      </c>
      <c r="E339" t="inlineStr">
        <is>
          <t>EUR</t>
        </is>
      </c>
      <c r="F339" t="n">
        <v>2309.29</v>
      </c>
      <c r="G339" t="inlineStr">
        <is>
          <t>Overdue</t>
        </is>
      </c>
    </row>
    <row r="340">
      <c r="A340" t="n">
        <v>6338</v>
      </c>
      <c r="B340" t="inlineStr">
        <is>
          <t>Cust_B</t>
        </is>
      </c>
      <c r="C340" s="13" t="n">
        <v>45296</v>
      </c>
      <c r="D340" s="13" t="n">
        <v>45341</v>
      </c>
      <c r="E340" t="inlineStr">
        <is>
          <t>EUR</t>
        </is>
      </c>
      <c r="F340" t="n">
        <v>11567.82</v>
      </c>
      <c r="G340" t="inlineStr">
        <is>
          <t>Paid</t>
        </is>
      </c>
      <c r="H340" s="13" t="n">
        <v>45357</v>
      </c>
    </row>
    <row r="341">
      <c r="A341" t="n">
        <v>6339</v>
      </c>
      <c r="B341" t="inlineStr">
        <is>
          <t>Cust_D</t>
        </is>
      </c>
      <c r="C341" s="13" t="n">
        <v>45507</v>
      </c>
      <c r="D341" s="13" t="n">
        <v>45567</v>
      </c>
      <c r="E341" t="inlineStr">
        <is>
          <t>EUR</t>
        </is>
      </c>
      <c r="F341" t="n">
        <v>17666.56</v>
      </c>
      <c r="G341" t="inlineStr">
        <is>
          <t>Paid</t>
        </is>
      </c>
      <c r="H341" s="13" t="n">
        <v>45578</v>
      </c>
    </row>
    <row r="342">
      <c r="A342" t="n">
        <v>6340</v>
      </c>
      <c r="B342" t="inlineStr">
        <is>
          <t>Cust_C</t>
        </is>
      </c>
      <c r="C342" s="13" t="n">
        <v>45565</v>
      </c>
      <c r="D342" s="13" t="n">
        <v>45610</v>
      </c>
      <c r="E342" t="inlineStr">
        <is>
          <t>EUR</t>
        </is>
      </c>
      <c r="F342" t="n">
        <v>7600.64</v>
      </c>
      <c r="G342" t="inlineStr">
        <is>
          <t>Paid</t>
        </is>
      </c>
      <c r="H342" s="13" t="n">
        <v>45629</v>
      </c>
    </row>
    <row r="343">
      <c r="A343" t="n">
        <v>6341</v>
      </c>
      <c r="B343" t="inlineStr">
        <is>
          <t>Cust_B</t>
        </is>
      </c>
      <c r="C343" s="13" t="n">
        <v>45562</v>
      </c>
      <c r="D343" s="13" t="n">
        <v>45607</v>
      </c>
      <c r="E343" t="inlineStr">
        <is>
          <t>EUR</t>
        </is>
      </c>
      <c r="F343" t="n">
        <v>7180.91</v>
      </c>
      <c r="G343" t="inlineStr">
        <is>
          <t>Paid</t>
        </is>
      </c>
      <c r="H343" s="13" t="n">
        <v>45619</v>
      </c>
    </row>
    <row r="344">
      <c r="A344" t="n">
        <v>6342</v>
      </c>
      <c r="B344" t="inlineStr">
        <is>
          <t>Cust_C</t>
        </is>
      </c>
      <c r="C344" s="13" t="n">
        <v>45580</v>
      </c>
      <c r="D344" s="13" t="n">
        <v>45610</v>
      </c>
      <c r="E344" t="inlineStr">
        <is>
          <t>EUR</t>
        </is>
      </c>
      <c r="F344" t="n">
        <v>10079.9</v>
      </c>
      <c r="G344" t="inlineStr">
        <is>
          <t>Paid</t>
        </is>
      </c>
      <c r="H344" s="13" t="n">
        <v>45615</v>
      </c>
    </row>
    <row r="345">
      <c r="A345" t="n">
        <v>6343</v>
      </c>
      <c r="B345" t="inlineStr">
        <is>
          <t>Cust_C</t>
        </is>
      </c>
      <c r="C345" s="13" t="n">
        <v>45341</v>
      </c>
      <c r="D345" s="13" t="n">
        <v>45401</v>
      </c>
      <c r="E345" t="inlineStr">
        <is>
          <t>EUR</t>
        </is>
      </c>
      <c r="F345" t="n">
        <v>6795.43</v>
      </c>
      <c r="G345" t="inlineStr">
        <is>
          <t>Paid</t>
        </is>
      </c>
      <c r="H345" s="13" t="n">
        <v>45403</v>
      </c>
    </row>
    <row r="346">
      <c r="A346" t="n">
        <v>6344</v>
      </c>
      <c r="B346" t="inlineStr">
        <is>
          <t>Cust_C</t>
        </is>
      </c>
      <c r="C346" s="13" t="n">
        <v>45456</v>
      </c>
      <c r="D346" s="13" t="n">
        <v>45516</v>
      </c>
      <c r="E346" t="inlineStr">
        <is>
          <t>EUR</t>
        </is>
      </c>
      <c r="F346" t="n">
        <v>3741.46</v>
      </c>
      <c r="G346" t="inlineStr">
        <is>
          <t>Paid</t>
        </is>
      </c>
      <c r="H346" s="13" t="n">
        <v>45521</v>
      </c>
    </row>
    <row r="347">
      <c r="A347" t="n">
        <v>6345</v>
      </c>
      <c r="B347" t="inlineStr">
        <is>
          <t>Cust_C</t>
        </is>
      </c>
      <c r="C347" s="13" t="n">
        <v>45475</v>
      </c>
      <c r="D347" s="13" t="n">
        <v>45505</v>
      </c>
      <c r="E347" t="inlineStr">
        <is>
          <t>EUR</t>
        </is>
      </c>
      <c r="F347" t="n">
        <v>4328.11</v>
      </c>
      <c r="G347" t="inlineStr">
        <is>
          <t>Overdue</t>
        </is>
      </c>
    </row>
    <row r="348">
      <c r="A348" t="n">
        <v>6346</v>
      </c>
      <c r="B348" t="inlineStr">
        <is>
          <t>Cust_D</t>
        </is>
      </c>
      <c r="C348" s="13" t="n">
        <v>45366</v>
      </c>
      <c r="D348" s="13" t="n">
        <v>45411</v>
      </c>
      <c r="E348" t="inlineStr">
        <is>
          <t>EUR</t>
        </is>
      </c>
      <c r="F348" t="n">
        <v>4930</v>
      </c>
      <c r="G348" t="inlineStr">
        <is>
          <t>Open</t>
        </is>
      </c>
    </row>
    <row r="349">
      <c r="A349" t="n">
        <v>6347</v>
      </c>
      <c r="B349" t="inlineStr">
        <is>
          <t>Cust_C</t>
        </is>
      </c>
      <c r="C349" s="13" t="n">
        <v>45630</v>
      </c>
      <c r="D349" s="13" t="n">
        <v>45660</v>
      </c>
      <c r="E349" t="inlineStr">
        <is>
          <t>EUR</t>
        </is>
      </c>
      <c r="F349" t="n">
        <v>3320.97</v>
      </c>
      <c r="G349" t="inlineStr">
        <is>
          <t>Overdue</t>
        </is>
      </c>
    </row>
    <row r="350">
      <c r="A350" t="n">
        <v>6348</v>
      </c>
      <c r="B350" t="inlineStr">
        <is>
          <t>Cust_D</t>
        </is>
      </c>
      <c r="C350" s="13" t="n">
        <v>45375</v>
      </c>
      <c r="D350" s="13" t="n">
        <v>45435</v>
      </c>
      <c r="E350" t="inlineStr">
        <is>
          <t>EUR</t>
        </is>
      </c>
      <c r="F350" t="n">
        <v>4913.82</v>
      </c>
      <c r="G350" t="inlineStr">
        <is>
          <t>Paid</t>
        </is>
      </c>
      <c r="H350" s="13" t="n">
        <v>45443</v>
      </c>
    </row>
    <row r="351">
      <c r="A351" t="n">
        <v>6349</v>
      </c>
      <c r="B351" t="inlineStr">
        <is>
          <t>Cust_D</t>
        </is>
      </c>
      <c r="C351" s="13" t="n">
        <v>45334</v>
      </c>
      <c r="D351" s="13" t="n">
        <v>45394</v>
      </c>
      <c r="E351" t="inlineStr">
        <is>
          <t>EUR</t>
        </is>
      </c>
      <c r="F351" t="n">
        <v>8340.35</v>
      </c>
      <c r="G351" t="inlineStr">
        <is>
          <t>Paid</t>
        </is>
      </c>
      <c r="H351" s="13" t="n">
        <v>45394</v>
      </c>
    </row>
    <row r="352">
      <c r="A352" t="n">
        <v>6350</v>
      </c>
      <c r="B352" t="inlineStr">
        <is>
          <t>Cust_B</t>
        </is>
      </c>
      <c r="C352" s="13" t="n">
        <v>45610</v>
      </c>
      <c r="D352" s="13" t="n">
        <v>45655</v>
      </c>
      <c r="E352" t="inlineStr">
        <is>
          <t>EUR</t>
        </is>
      </c>
      <c r="F352" t="n">
        <v>3481.66</v>
      </c>
      <c r="G352" t="inlineStr">
        <is>
          <t>Paid</t>
        </is>
      </c>
      <c r="H352" s="13" t="n">
        <v>45669</v>
      </c>
    </row>
    <row r="353">
      <c r="A353" t="n">
        <v>6351</v>
      </c>
      <c r="B353" t="inlineStr">
        <is>
          <t>Cust_C</t>
        </is>
      </c>
      <c r="C353" s="13" t="n">
        <v>45622</v>
      </c>
      <c r="D353" s="13" t="n">
        <v>45667</v>
      </c>
      <c r="E353" t="inlineStr">
        <is>
          <t>JPY</t>
        </is>
      </c>
      <c r="F353" t="n">
        <v>787554</v>
      </c>
      <c r="G353" t="inlineStr">
        <is>
          <t>Paid</t>
        </is>
      </c>
      <c r="H353" s="13" t="n">
        <v>45687</v>
      </c>
    </row>
    <row r="354">
      <c r="A354" t="n">
        <v>6352</v>
      </c>
      <c r="B354" t="inlineStr">
        <is>
          <t>Cust_B</t>
        </is>
      </c>
      <c r="C354" s="13" t="n">
        <v>45596</v>
      </c>
      <c r="D354" s="13" t="n">
        <v>45656</v>
      </c>
      <c r="E354" t="inlineStr">
        <is>
          <t>EUR</t>
        </is>
      </c>
      <c r="F354" t="n">
        <v>4405.75</v>
      </c>
      <c r="G354" t="inlineStr">
        <is>
          <t>Overdue</t>
        </is>
      </c>
    </row>
    <row r="355">
      <c r="A355" t="n">
        <v>6353</v>
      </c>
      <c r="B355" t="inlineStr">
        <is>
          <t>Cust_C</t>
        </is>
      </c>
      <c r="C355" s="13" t="n">
        <v>45427</v>
      </c>
      <c r="D355" s="13" t="n">
        <v>45487</v>
      </c>
      <c r="E355" t="inlineStr">
        <is>
          <t>EUR</t>
        </is>
      </c>
      <c r="F355" t="n">
        <v>4404.39</v>
      </c>
      <c r="G355" t="inlineStr">
        <is>
          <t>Paid</t>
        </is>
      </c>
      <c r="H355" s="13" t="n">
        <v>45495</v>
      </c>
    </row>
    <row r="356">
      <c r="A356" t="n">
        <v>6354</v>
      </c>
      <c r="B356" t="inlineStr">
        <is>
          <t>Cust_A</t>
        </is>
      </c>
      <c r="C356" s="13" t="n">
        <v>45599</v>
      </c>
      <c r="D356" s="13" t="n">
        <v>45659</v>
      </c>
      <c r="E356" t="inlineStr">
        <is>
          <t>JPY</t>
        </is>
      </c>
      <c r="F356" t="n">
        <v>740845</v>
      </c>
      <c r="G356" t="inlineStr">
        <is>
          <t>Paid</t>
        </is>
      </c>
      <c r="H356" s="13" t="n">
        <v>45669</v>
      </c>
    </row>
    <row r="357">
      <c r="A357" t="n">
        <v>6355</v>
      </c>
      <c r="B357" t="inlineStr">
        <is>
          <t>Cust_B</t>
        </is>
      </c>
      <c r="C357" s="13" t="n">
        <v>45360</v>
      </c>
      <c r="D357" s="13" t="n">
        <v>45405</v>
      </c>
      <c r="E357" t="inlineStr">
        <is>
          <t>EUR</t>
        </is>
      </c>
      <c r="F357" t="n">
        <v>9516.74</v>
      </c>
      <c r="G357" t="inlineStr">
        <is>
          <t>Overdue</t>
        </is>
      </c>
    </row>
    <row r="358">
      <c r="A358" t="n">
        <v>6356</v>
      </c>
      <c r="B358" t="inlineStr">
        <is>
          <t>Cust_B</t>
        </is>
      </c>
      <c r="C358" s="13" t="n">
        <v>45320</v>
      </c>
      <c r="D358" s="13" t="n">
        <v>45380</v>
      </c>
      <c r="E358" t="inlineStr">
        <is>
          <t>EUR</t>
        </is>
      </c>
      <c r="F358" t="n">
        <v>4704.5</v>
      </c>
      <c r="G358" t="inlineStr">
        <is>
          <t>Paid</t>
        </is>
      </c>
      <c r="H358" s="13" t="n">
        <v>45400</v>
      </c>
    </row>
    <row r="359">
      <c r="A359" t="n">
        <v>6357</v>
      </c>
      <c r="B359" t="inlineStr">
        <is>
          <t>Cust_C</t>
        </is>
      </c>
      <c r="C359" s="13" t="n">
        <v>45533</v>
      </c>
      <c r="D359" s="13" t="n">
        <v>45578</v>
      </c>
      <c r="E359" t="inlineStr">
        <is>
          <t>EUR</t>
        </is>
      </c>
      <c r="F359" t="n">
        <v>13256.94</v>
      </c>
      <c r="G359" t="inlineStr">
        <is>
          <t>Paid</t>
        </is>
      </c>
      <c r="H359" s="13" t="n">
        <v>45596</v>
      </c>
    </row>
    <row r="360">
      <c r="A360" t="n">
        <v>6358</v>
      </c>
      <c r="B360" t="inlineStr">
        <is>
          <t>Cust_D</t>
        </is>
      </c>
      <c r="C360" s="13" t="n">
        <v>45469</v>
      </c>
      <c r="D360" s="13" t="n">
        <v>45514</v>
      </c>
      <c r="E360" t="inlineStr">
        <is>
          <t>EUR</t>
        </is>
      </c>
      <c r="F360" t="n">
        <v>10236.04</v>
      </c>
      <c r="G360" t="inlineStr">
        <is>
          <t>Paid</t>
        </is>
      </c>
      <c r="H360" s="13" t="n">
        <v>45528</v>
      </c>
    </row>
    <row r="361">
      <c r="A361" t="n">
        <v>6359</v>
      </c>
      <c r="B361" t="inlineStr">
        <is>
          <t>Cust_D</t>
        </is>
      </c>
      <c r="C361" s="13" t="n">
        <v>45589</v>
      </c>
      <c r="D361" s="13" t="n">
        <v>45649</v>
      </c>
      <c r="E361" t="inlineStr">
        <is>
          <t>USD</t>
        </is>
      </c>
      <c r="F361" t="n">
        <v>14192.35</v>
      </c>
      <c r="G361" t="inlineStr">
        <is>
          <t>Paid</t>
        </is>
      </c>
      <c r="H361" s="13" t="n">
        <v>45656</v>
      </c>
    </row>
    <row r="362">
      <c r="A362" t="n">
        <v>6360</v>
      </c>
      <c r="B362" t="inlineStr">
        <is>
          <t>Cust_D</t>
        </is>
      </c>
      <c r="C362" s="13" t="n">
        <v>45478</v>
      </c>
      <c r="D362" s="13" t="n">
        <v>45523</v>
      </c>
      <c r="E362" t="inlineStr">
        <is>
          <t>EUR</t>
        </is>
      </c>
      <c r="F362" t="n">
        <v>4215.67</v>
      </c>
      <c r="G362" t="inlineStr">
        <is>
          <t>Open</t>
        </is>
      </c>
    </row>
    <row r="363">
      <c r="A363" t="n">
        <v>6361</v>
      </c>
      <c r="B363" t="inlineStr">
        <is>
          <t>Cust_D</t>
        </is>
      </c>
      <c r="C363" s="13" t="n">
        <v>45441</v>
      </c>
      <c r="D363" s="13" t="n">
        <v>45471</v>
      </c>
      <c r="E363" t="inlineStr">
        <is>
          <t>EUR</t>
        </is>
      </c>
      <c r="F363" t="n">
        <v>11374.51</v>
      </c>
      <c r="G363" t="inlineStr">
        <is>
          <t>Paid</t>
        </is>
      </c>
      <c r="H363" s="13" t="n">
        <v>45487</v>
      </c>
    </row>
    <row r="364">
      <c r="A364" t="n">
        <v>6362</v>
      </c>
      <c r="B364" t="inlineStr">
        <is>
          <t>Cust_C</t>
        </is>
      </c>
      <c r="C364" s="13" t="n">
        <v>45557</v>
      </c>
      <c r="D364" s="13" t="n">
        <v>45602</v>
      </c>
      <c r="E364" t="inlineStr">
        <is>
          <t>EUR</t>
        </is>
      </c>
      <c r="F364" t="n">
        <v>4691.37</v>
      </c>
      <c r="G364" t="inlineStr">
        <is>
          <t>Paid</t>
        </is>
      </c>
      <c r="H364" s="13" t="n">
        <v>45618</v>
      </c>
    </row>
    <row r="365">
      <c r="A365" t="n">
        <v>6363</v>
      </c>
      <c r="B365" t="inlineStr">
        <is>
          <t>Cust_C</t>
        </is>
      </c>
      <c r="C365" s="13" t="n">
        <v>45541</v>
      </c>
      <c r="D365" s="13" t="n">
        <v>45601</v>
      </c>
      <c r="E365" t="inlineStr">
        <is>
          <t>EUR</t>
        </is>
      </c>
      <c r="F365" t="n">
        <v>13545.99</v>
      </c>
      <c r="G365" t="inlineStr">
        <is>
          <t>Paid</t>
        </is>
      </c>
      <c r="H365" s="13" t="n">
        <v>45619</v>
      </c>
    </row>
    <row r="366">
      <c r="A366" t="n">
        <v>6364</v>
      </c>
      <c r="B366" t="inlineStr">
        <is>
          <t>Cust_B</t>
        </is>
      </c>
      <c r="C366" s="13" t="n">
        <v>45310</v>
      </c>
      <c r="D366" s="13" t="n">
        <v>45340</v>
      </c>
      <c r="E366" t="inlineStr">
        <is>
          <t>EUR</t>
        </is>
      </c>
      <c r="F366" t="n">
        <v>12786.38</v>
      </c>
      <c r="G366" t="inlineStr">
        <is>
          <t>Paid</t>
        </is>
      </c>
      <c r="H366" s="13" t="n">
        <v>45349</v>
      </c>
    </row>
    <row r="367">
      <c r="A367" t="n">
        <v>6365</v>
      </c>
      <c r="B367" t="inlineStr">
        <is>
          <t>Cust_A</t>
        </is>
      </c>
      <c r="C367" s="13" t="n">
        <v>45395</v>
      </c>
      <c r="D367" s="13" t="n">
        <v>45455</v>
      </c>
      <c r="E367" t="inlineStr">
        <is>
          <t>EUR</t>
        </is>
      </c>
      <c r="F367" t="n">
        <v>5444.72</v>
      </c>
      <c r="G367" t="inlineStr">
        <is>
          <t>Paid</t>
        </is>
      </c>
      <c r="H367" s="13" t="n">
        <v>45471</v>
      </c>
    </row>
    <row r="368">
      <c r="A368" t="n">
        <v>6366</v>
      </c>
      <c r="B368" t="inlineStr">
        <is>
          <t>Cust_C</t>
        </is>
      </c>
      <c r="C368" s="13" t="n">
        <v>45655</v>
      </c>
      <c r="D368" s="13" t="n">
        <v>45685</v>
      </c>
      <c r="E368" t="inlineStr">
        <is>
          <t>EUR</t>
        </is>
      </c>
      <c r="F368" t="n">
        <v>6616.61</v>
      </c>
      <c r="G368" t="inlineStr">
        <is>
          <t>Paid</t>
        </is>
      </c>
      <c r="H368" s="13" t="n">
        <v>45699</v>
      </c>
    </row>
    <row r="369">
      <c r="A369" t="n">
        <v>6367</v>
      </c>
      <c r="B369" t="inlineStr">
        <is>
          <t>Cust_A</t>
        </is>
      </c>
      <c r="C369" s="13" t="n">
        <v>45348</v>
      </c>
      <c r="D369" s="13" t="n">
        <v>45378</v>
      </c>
      <c r="E369" t="inlineStr">
        <is>
          <t>JPY</t>
        </is>
      </c>
      <c r="F369" t="n">
        <v>1163689</v>
      </c>
      <c r="G369" t="inlineStr">
        <is>
          <t>Paid</t>
        </is>
      </c>
      <c r="H369" s="13" t="n">
        <v>45383</v>
      </c>
    </row>
    <row r="370">
      <c r="A370" t="n">
        <v>6368</v>
      </c>
      <c r="B370" t="inlineStr">
        <is>
          <t>Cust_B</t>
        </is>
      </c>
      <c r="C370" s="13" t="n">
        <v>45330</v>
      </c>
      <c r="D370" s="13" t="n">
        <v>45360</v>
      </c>
      <c r="E370" t="inlineStr">
        <is>
          <t>USD</t>
        </is>
      </c>
      <c r="F370" t="n">
        <v>2105</v>
      </c>
      <c r="G370" t="inlineStr">
        <is>
          <t>Paid</t>
        </is>
      </c>
      <c r="H370" s="13" t="n">
        <v>45370</v>
      </c>
    </row>
    <row r="371">
      <c r="A371" t="n">
        <v>6369</v>
      </c>
      <c r="B371" t="inlineStr">
        <is>
          <t>Cust_A</t>
        </is>
      </c>
      <c r="C371" s="13" t="n">
        <v>45294</v>
      </c>
      <c r="D371" s="13" t="n">
        <v>45339</v>
      </c>
      <c r="E371" t="inlineStr">
        <is>
          <t>EUR</t>
        </is>
      </c>
      <c r="F371" t="n">
        <v>2831.3</v>
      </c>
      <c r="G371" t="inlineStr">
        <is>
          <t>Paid</t>
        </is>
      </c>
      <c r="H371" s="13" t="n">
        <v>45349</v>
      </c>
    </row>
    <row r="372">
      <c r="A372" t="n">
        <v>6370</v>
      </c>
      <c r="B372" t="inlineStr">
        <is>
          <t>Cust_C</t>
        </is>
      </c>
      <c r="C372" s="13" t="n">
        <v>45442</v>
      </c>
      <c r="D372" s="13" t="n">
        <v>45487</v>
      </c>
      <c r="E372" t="inlineStr">
        <is>
          <t>JPY</t>
        </is>
      </c>
      <c r="F372" t="n">
        <v>1506102</v>
      </c>
      <c r="G372" t="inlineStr">
        <is>
          <t>Paid</t>
        </is>
      </c>
      <c r="H372" s="13" t="n">
        <v>45493</v>
      </c>
    </row>
    <row r="373">
      <c r="A373" t="n">
        <v>6371</v>
      </c>
      <c r="B373" t="inlineStr">
        <is>
          <t>Cust_B</t>
        </is>
      </c>
      <c r="C373" s="13" t="n">
        <v>45494</v>
      </c>
      <c r="D373" s="13" t="n">
        <v>45539</v>
      </c>
      <c r="E373" t="inlineStr">
        <is>
          <t>EUR</t>
        </is>
      </c>
      <c r="F373" t="n">
        <v>6434.39</v>
      </c>
      <c r="G373" t="inlineStr">
        <is>
          <t>Overdue</t>
        </is>
      </c>
    </row>
    <row r="374">
      <c r="A374" t="n">
        <v>6372</v>
      </c>
      <c r="B374" t="inlineStr">
        <is>
          <t>Cust_C</t>
        </is>
      </c>
      <c r="C374" s="13" t="n">
        <v>45334</v>
      </c>
      <c r="D374" s="13" t="n">
        <v>45379</v>
      </c>
      <c r="E374" t="inlineStr">
        <is>
          <t>EUR</t>
        </is>
      </c>
      <c r="F374" t="n">
        <v>6955.12</v>
      </c>
      <c r="G374" t="inlineStr">
        <is>
          <t>Paid</t>
        </is>
      </c>
      <c r="H374" s="13" t="n">
        <v>45386</v>
      </c>
    </row>
    <row r="375">
      <c r="A375" t="n">
        <v>6373</v>
      </c>
      <c r="B375" t="inlineStr">
        <is>
          <t>Cust_D</t>
        </is>
      </c>
      <c r="C375" s="13" t="n">
        <v>45330</v>
      </c>
      <c r="D375" s="13" t="n">
        <v>45360</v>
      </c>
      <c r="E375" t="inlineStr">
        <is>
          <t>EUR</t>
        </is>
      </c>
      <c r="F375" t="n">
        <v>6920.11</v>
      </c>
      <c r="G375" t="inlineStr">
        <is>
          <t>Paid</t>
        </is>
      </c>
      <c r="H375" s="13" t="n">
        <v>45372</v>
      </c>
    </row>
    <row r="376">
      <c r="A376" t="n">
        <v>6374</v>
      </c>
      <c r="B376" t="inlineStr">
        <is>
          <t>Cust_B</t>
        </is>
      </c>
      <c r="C376" s="13" t="n">
        <v>45368</v>
      </c>
      <c r="D376" s="13" t="n">
        <v>45413</v>
      </c>
      <c r="E376" t="inlineStr">
        <is>
          <t>EUR</t>
        </is>
      </c>
      <c r="F376" t="n">
        <v>12128.97</v>
      </c>
      <c r="G376" t="inlineStr">
        <is>
          <t>Paid</t>
        </is>
      </c>
      <c r="H376" s="13" t="n">
        <v>45423</v>
      </c>
    </row>
    <row r="377">
      <c r="A377" t="n">
        <v>6375</v>
      </c>
      <c r="B377" t="inlineStr">
        <is>
          <t>Cust_C</t>
        </is>
      </c>
      <c r="C377" s="13" t="n">
        <v>45544</v>
      </c>
      <c r="D377" s="13" t="n">
        <v>45574</v>
      </c>
      <c r="E377" t="inlineStr">
        <is>
          <t>EUR</t>
        </is>
      </c>
      <c r="F377" t="n">
        <v>8453.5</v>
      </c>
      <c r="G377" t="inlineStr">
        <is>
          <t>Paid</t>
        </is>
      </c>
      <c r="H377" s="13" t="n">
        <v>45584</v>
      </c>
    </row>
    <row r="378">
      <c r="A378" t="n">
        <v>6376</v>
      </c>
      <c r="B378" t="inlineStr">
        <is>
          <t>Cust_C</t>
        </is>
      </c>
      <c r="C378" s="13" t="n">
        <v>45321</v>
      </c>
      <c r="D378" s="13" t="n">
        <v>45366</v>
      </c>
      <c r="E378" t="inlineStr">
        <is>
          <t>USD</t>
        </is>
      </c>
      <c r="F378" t="n">
        <v>14216.22</v>
      </c>
      <c r="G378" t="inlineStr">
        <is>
          <t>Paid</t>
        </is>
      </c>
      <c r="H378" s="13" t="n">
        <v>45384</v>
      </c>
    </row>
    <row r="379">
      <c r="A379" t="n">
        <v>6377</v>
      </c>
      <c r="B379" t="inlineStr">
        <is>
          <t>Cust_B</t>
        </is>
      </c>
      <c r="C379" s="13" t="n">
        <v>45424</v>
      </c>
      <c r="D379" s="13" t="n">
        <v>45469</v>
      </c>
      <c r="E379" t="inlineStr">
        <is>
          <t>EUR</t>
        </is>
      </c>
      <c r="F379" t="n">
        <v>10660.99</v>
      </c>
      <c r="G379" t="inlineStr">
        <is>
          <t>Paid</t>
        </is>
      </c>
      <c r="H379" s="13" t="n">
        <v>45474</v>
      </c>
    </row>
    <row r="380">
      <c r="A380" t="n">
        <v>6378</v>
      </c>
      <c r="B380" t="inlineStr">
        <is>
          <t>Cust_B</t>
        </is>
      </c>
      <c r="C380" s="13" t="n">
        <v>45351</v>
      </c>
      <c r="D380" s="13" t="n">
        <v>45396</v>
      </c>
      <c r="E380" t="inlineStr">
        <is>
          <t>USD</t>
        </is>
      </c>
      <c r="F380" t="n">
        <v>10299.89</v>
      </c>
      <c r="G380" t="inlineStr">
        <is>
          <t>Paid</t>
        </is>
      </c>
      <c r="H380" s="13" t="n">
        <v>45403</v>
      </c>
    </row>
    <row r="381">
      <c r="A381" t="n">
        <v>6379</v>
      </c>
      <c r="B381" t="inlineStr">
        <is>
          <t>Cust_D</t>
        </is>
      </c>
      <c r="C381" s="13" t="n">
        <v>45536</v>
      </c>
      <c r="D381" s="13" t="n">
        <v>45581</v>
      </c>
      <c r="E381" t="inlineStr">
        <is>
          <t>EUR</t>
        </is>
      </c>
      <c r="F381" t="n">
        <v>6581.23</v>
      </c>
      <c r="G381" t="inlineStr">
        <is>
          <t>Paid</t>
        </is>
      </c>
      <c r="H381" s="13" t="n">
        <v>45589</v>
      </c>
    </row>
    <row r="382">
      <c r="A382" t="n">
        <v>6380</v>
      </c>
      <c r="B382" t="inlineStr">
        <is>
          <t>Cust_D</t>
        </is>
      </c>
      <c r="C382" s="13" t="n">
        <v>45434</v>
      </c>
      <c r="D382" s="13" t="n">
        <v>45464</v>
      </c>
      <c r="E382" t="inlineStr">
        <is>
          <t>JPY</t>
        </is>
      </c>
      <c r="F382" t="n">
        <v>1679410</v>
      </c>
      <c r="G382" t="inlineStr">
        <is>
          <t>Paid</t>
        </is>
      </c>
      <c r="H382" s="13" t="n">
        <v>45474</v>
      </c>
    </row>
    <row r="383">
      <c r="A383" t="n">
        <v>6381</v>
      </c>
      <c r="B383" t="inlineStr">
        <is>
          <t>Cust_B</t>
        </is>
      </c>
      <c r="C383" s="13" t="n">
        <v>45591</v>
      </c>
      <c r="D383" s="13" t="n">
        <v>45651</v>
      </c>
      <c r="E383" t="inlineStr">
        <is>
          <t>EUR</t>
        </is>
      </c>
      <c r="F383" t="n">
        <v>14856.78</v>
      </c>
      <c r="G383" t="inlineStr">
        <is>
          <t>Paid</t>
        </is>
      </c>
      <c r="H383" s="13" t="n">
        <v>45654</v>
      </c>
    </row>
    <row r="384">
      <c r="A384" t="n">
        <v>6382</v>
      </c>
      <c r="B384" t="inlineStr">
        <is>
          <t>Cust_B</t>
        </is>
      </c>
      <c r="C384" s="13" t="n">
        <v>45561</v>
      </c>
      <c r="D384" s="13" t="n">
        <v>45621</v>
      </c>
      <c r="E384" t="inlineStr">
        <is>
          <t>EUR</t>
        </is>
      </c>
      <c r="F384" t="n">
        <v>11082.09</v>
      </c>
      <c r="G384" t="inlineStr">
        <is>
          <t>Paid</t>
        </is>
      </c>
      <c r="H384" s="13" t="n">
        <v>45626</v>
      </c>
    </row>
    <row r="385">
      <c r="A385" t="n">
        <v>6383</v>
      </c>
      <c r="B385" t="inlineStr">
        <is>
          <t>Cust_D</t>
        </is>
      </c>
      <c r="C385" s="13" t="n">
        <v>45409</v>
      </c>
      <c r="D385" s="13" t="n">
        <v>45469</v>
      </c>
      <c r="E385" t="inlineStr">
        <is>
          <t>EUR</t>
        </is>
      </c>
      <c r="F385" t="n">
        <v>4475.95</v>
      </c>
      <c r="G385" t="inlineStr">
        <is>
          <t>Open</t>
        </is>
      </c>
    </row>
    <row r="386">
      <c r="A386" t="n">
        <v>6384</v>
      </c>
      <c r="B386" t="inlineStr">
        <is>
          <t>Cust_C</t>
        </is>
      </c>
      <c r="C386" s="13" t="n">
        <v>45298</v>
      </c>
      <c r="D386" s="13" t="n">
        <v>45358</v>
      </c>
      <c r="E386" t="inlineStr">
        <is>
          <t>EUR</t>
        </is>
      </c>
      <c r="F386" t="n">
        <v>11704.15</v>
      </c>
      <c r="G386" t="inlineStr">
        <is>
          <t>Paid</t>
        </is>
      </c>
      <c r="H386" s="13" t="n">
        <v>45378</v>
      </c>
    </row>
    <row r="387">
      <c r="A387" t="n">
        <v>6385</v>
      </c>
      <c r="B387" t="inlineStr">
        <is>
          <t>Cust_C</t>
        </is>
      </c>
      <c r="C387" s="13" t="n">
        <v>45363</v>
      </c>
      <c r="D387" s="13" t="n">
        <v>45423</v>
      </c>
      <c r="E387" t="inlineStr">
        <is>
          <t>EUR</t>
        </is>
      </c>
      <c r="F387" t="n">
        <v>11272.35</v>
      </c>
      <c r="G387" t="inlineStr">
        <is>
          <t>Paid</t>
        </is>
      </c>
      <c r="H387" s="13" t="n">
        <v>45424</v>
      </c>
    </row>
    <row r="388">
      <c r="A388" t="n">
        <v>6386</v>
      </c>
      <c r="B388" t="inlineStr">
        <is>
          <t>Cust_C</t>
        </is>
      </c>
      <c r="C388" s="13" t="n">
        <v>45473</v>
      </c>
      <c r="D388" s="13" t="n">
        <v>45503</v>
      </c>
      <c r="E388" t="inlineStr">
        <is>
          <t>EUR</t>
        </is>
      </c>
      <c r="F388" t="n">
        <v>12939.11</v>
      </c>
      <c r="G388" t="inlineStr">
        <is>
          <t>Paid</t>
        </is>
      </c>
      <c r="H388" s="13" t="n">
        <v>45511</v>
      </c>
    </row>
    <row r="389">
      <c r="A389" t="n">
        <v>6387</v>
      </c>
      <c r="B389" t="inlineStr">
        <is>
          <t>Cust_B</t>
        </is>
      </c>
      <c r="C389" s="13" t="n">
        <v>45483</v>
      </c>
      <c r="D389" s="13" t="n">
        <v>45513</v>
      </c>
      <c r="E389" t="inlineStr">
        <is>
          <t>EUR</t>
        </is>
      </c>
      <c r="F389" t="n">
        <v>1754.18</v>
      </c>
      <c r="G389" t="inlineStr">
        <is>
          <t>Paid</t>
        </is>
      </c>
      <c r="H389" s="13" t="n">
        <v>45521</v>
      </c>
    </row>
    <row r="390">
      <c r="A390" t="n">
        <v>6388</v>
      </c>
      <c r="B390" t="inlineStr">
        <is>
          <t>Cust_C</t>
        </is>
      </c>
      <c r="C390" s="13" t="n">
        <v>45364</v>
      </c>
      <c r="D390" s="13" t="n">
        <v>45409</v>
      </c>
      <c r="E390" t="inlineStr">
        <is>
          <t>EUR</t>
        </is>
      </c>
      <c r="F390" t="n">
        <v>15308.75</v>
      </c>
      <c r="G390" t="inlineStr">
        <is>
          <t>Paid</t>
        </is>
      </c>
      <c r="H390" s="13" t="n">
        <v>45425</v>
      </c>
    </row>
    <row r="391">
      <c r="A391" t="n">
        <v>6389</v>
      </c>
      <c r="B391" t="inlineStr">
        <is>
          <t>Cust_D</t>
        </is>
      </c>
      <c r="C391" s="13" t="n">
        <v>45376</v>
      </c>
      <c r="D391" s="13" t="n">
        <v>45436</v>
      </c>
      <c r="E391" t="inlineStr">
        <is>
          <t>EUR</t>
        </is>
      </c>
      <c r="F391" t="n">
        <v>9114.17</v>
      </c>
      <c r="G391" t="inlineStr">
        <is>
          <t>Open</t>
        </is>
      </c>
    </row>
    <row r="392">
      <c r="A392" t="n">
        <v>6390</v>
      </c>
      <c r="B392" t="inlineStr">
        <is>
          <t>Cust_B</t>
        </is>
      </c>
      <c r="C392" s="13" t="n">
        <v>45603</v>
      </c>
      <c r="D392" s="13" t="n">
        <v>45663</v>
      </c>
      <c r="E392" t="inlineStr">
        <is>
          <t>EUR</t>
        </is>
      </c>
      <c r="F392" t="n">
        <v>11816.81</v>
      </c>
      <c r="G392" t="inlineStr">
        <is>
          <t>Paid</t>
        </is>
      </c>
      <c r="H392" s="13" t="n">
        <v>45683</v>
      </c>
    </row>
    <row r="393">
      <c r="A393" t="n">
        <v>6391</v>
      </c>
      <c r="B393" t="inlineStr">
        <is>
          <t>Cust_A</t>
        </is>
      </c>
      <c r="C393" s="13" t="n">
        <v>45589</v>
      </c>
      <c r="D393" s="13" t="n">
        <v>45634</v>
      </c>
      <c r="E393" t="inlineStr">
        <is>
          <t>EUR</t>
        </is>
      </c>
      <c r="F393" t="n">
        <v>4095.87</v>
      </c>
      <c r="G393" t="inlineStr">
        <is>
          <t>Paid</t>
        </is>
      </c>
      <c r="H393" s="13" t="n">
        <v>45648</v>
      </c>
    </row>
    <row r="394">
      <c r="A394" t="n">
        <v>6392</v>
      </c>
      <c r="B394" t="inlineStr">
        <is>
          <t>Cust_C</t>
        </is>
      </c>
      <c r="C394" s="13" t="n">
        <v>45628</v>
      </c>
      <c r="D394" s="13" t="n">
        <v>45673</v>
      </c>
      <c r="E394" t="inlineStr">
        <is>
          <t>EUR</t>
        </is>
      </c>
      <c r="F394" t="n">
        <v>11932.75</v>
      </c>
      <c r="G394" t="inlineStr">
        <is>
          <t>Paid</t>
        </is>
      </c>
      <c r="H394" s="13" t="n">
        <v>45690</v>
      </c>
    </row>
    <row r="395">
      <c r="A395" t="n">
        <v>6393</v>
      </c>
      <c r="B395" t="inlineStr">
        <is>
          <t>Cust_B</t>
        </is>
      </c>
      <c r="C395" s="13" t="n">
        <v>45502</v>
      </c>
      <c r="D395" s="13" t="n">
        <v>45562</v>
      </c>
      <c r="E395" t="inlineStr">
        <is>
          <t>EUR</t>
        </is>
      </c>
      <c r="F395" t="n">
        <v>26072.54</v>
      </c>
      <c r="G395" t="inlineStr">
        <is>
          <t>Paid</t>
        </is>
      </c>
      <c r="H395" s="13" t="n">
        <v>45566</v>
      </c>
    </row>
    <row r="396">
      <c r="A396" t="n">
        <v>6394</v>
      </c>
      <c r="B396" t="inlineStr">
        <is>
          <t>Cust_A</t>
        </is>
      </c>
      <c r="C396" s="13" t="n">
        <v>45430</v>
      </c>
      <c r="D396" s="13" t="n">
        <v>45490</v>
      </c>
      <c r="E396" t="inlineStr">
        <is>
          <t>JPY</t>
        </is>
      </c>
      <c r="F396" t="n">
        <v>818655</v>
      </c>
      <c r="G396" t="inlineStr">
        <is>
          <t>Open</t>
        </is>
      </c>
    </row>
    <row r="397">
      <c r="A397" t="n">
        <v>6395</v>
      </c>
      <c r="B397" t="inlineStr">
        <is>
          <t>Cust_C</t>
        </is>
      </c>
      <c r="C397" s="13" t="n">
        <v>45456</v>
      </c>
      <c r="D397" s="13" t="n">
        <v>45516</v>
      </c>
      <c r="E397" t="inlineStr">
        <is>
          <t>JPY</t>
        </is>
      </c>
      <c r="F397" t="n">
        <v>2316500</v>
      </c>
      <c r="G397" t="inlineStr">
        <is>
          <t>Paid</t>
        </is>
      </c>
      <c r="H397" s="13" t="n">
        <v>45531</v>
      </c>
    </row>
    <row r="398">
      <c r="A398" t="n">
        <v>6396</v>
      </c>
      <c r="B398" t="inlineStr">
        <is>
          <t>Cust_B</t>
        </is>
      </c>
      <c r="C398" s="13" t="n">
        <v>45602</v>
      </c>
      <c r="D398" s="13" t="n">
        <v>45632</v>
      </c>
      <c r="E398" t="inlineStr">
        <is>
          <t>EUR</t>
        </is>
      </c>
      <c r="F398" t="n">
        <v>2145.6</v>
      </c>
      <c r="G398" t="inlineStr">
        <is>
          <t>Paid</t>
        </is>
      </c>
      <c r="H398" s="13" t="n">
        <v>45652</v>
      </c>
    </row>
    <row r="399">
      <c r="A399" t="n">
        <v>6397</v>
      </c>
      <c r="B399" t="inlineStr">
        <is>
          <t>Cust_C</t>
        </is>
      </c>
      <c r="C399" s="13" t="n">
        <v>45630</v>
      </c>
      <c r="D399" s="13" t="n">
        <v>45690</v>
      </c>
      <c r="E399" t="inlineStr">
        <is>
          <t>EUR</t>
        </is>
      </c>
      <c r="F399" t="n">
        <v>8891.42</v>
      </c>
      <c r="G399" t="inlineStr">
        <is>
          <t>Paid</t>
        </is>
      </c>
      <c r="H399" s="13" t="n">
        <v>45702</v>
      </c>
    </row>
    <row r="400">
      <c r="A400" t="n">
        <v>6398</v>
      </c>
      <c r="B400" t="inlineStr">
        <is>
          <t>Cust_C</t>
        </is>
      </c>
      <c r="C400" s="13" t="n">
        <v>45604</v>
      </c>
      <c r="D400" s="13" t="n">
        <v>45634</v>
      </c>
      <c r="E400" t="inlineStr">
        <is>
          <t>JPY</t>
        </is>
      </c>
      <c r="F400" t="n">
        <v>740384</v>
      </c>
      <c r="G400" t="inlineStr">
        <is>
          <t>Paid</t>
        </is>
      </c>
      <c r="H400" s="13" t="n">
        <v>45644</v>
      </c>
    </row>
    <row r="401">
      <c r="A401" t="n">
        <v>6399</v>
      </c>
      <c r="B401" t="inlineStr">
        <is>
          <t>Cust_D</t>
        </is>
      </c>
      <c r="C401" s="13" t="n">
        <v>45297</v>
      </c>
      <c r="D401" s="13" t="n">
        <v>45357</v>
      </c>
      <c r="E401" t="inlineStr">
        <is>
          <t>EUR</t>
        </is>
      </c>
      <c r="F401" t="n">
        <v>5653.15</v>
      </c>
      <c r="G401" t="inlineStr">
        <is>
          <t>Paid</t>
        </is>
      </c>
      <c r="H401" s="13" t="n">
        <v>45357</v>
      </c>
    </row>
    <row r="402">
      <c r="A402" t="n">
        <v>6400</v>
      </c>
      <c r="B402" t="inlineStr">
        <is>
          <t>Cust_C</t>
        </is>
      </c>
      <c r="C402" s="13" t="n">
        <v>45404</v>
      </c>
      <c r="D402" s="13" t="n">
        <v>45449</v>
      </c>
      <c r="E402" t="inlineStr">
        <is>
          <t>EUR</t>
        </is>
      </c>
      <c r="F402" t="n">
        <v>3457.46</v>
      </c>
      <c r="G402" t="inlineStr">
        <is>
          <t>Open</t>
        </is>
      </c>
    </row>
    <row r="403">
      <c r="A403" t="n">
        <v>6401</v>
      </c>
      <c r="B403" t="inlineStr">
        <is>
          <t>Cust_D</t>
        </is>
      </c>
      <c r="C403" s="13" t="n">
        <v>45400</v>
      </c>
      <c r="D403" s="13" t="n">
        <v>45460</v>
      </c>
      <c r="E403" t="inlineStr">
        <is>
          <t>EUR</t>
        </is>
      </c>
      <c r="F403" t="n">
        <v>15022.94</v>
      </c>
      <c r="G403" t="inlineStr">
        <is>
          <t>Paid</t>
        </is>
      </c>
      <c r="H403" s="13" t="n">
        <v>45479</v>
      </c>
    </row>
    <row r="404">
      <c r="A404" t="n">
        <v>6402</v>
      </c>
      <c r="B404" t="inlineStr">
        <is>
          <t>Cust_A</t>
        </is>
      </c>
      <c r="C404" s="13" t="n">
        <v>45575</v>
      </c>
      <c r="D404" s="13" t="n">
        <v>45605</v>
      </c>
      <c r="E404" t="inlineStr">
        <is>
          <t>EUR</t>
        </is>
      </c>
      <c r="F404" t="n">
        <v>12299.5</v>
      </c>
      <c r="G404" t="inlineStr">
        <is>
          <t>Open</t>
        </is>
      </c>
    </row>
    <row r="405">
      <c r="A405" t="n">
        <v>6403</v>
      </c>
      <c r="B405" t="inlineStr">
        <is>
          <t>Cust_B</t>
        </is>
      </c>
      <c r="C405" s="13" t="n">
        <v>45511</v>
      </c>
      <c r="D405" s="13" t="n">
        <v>45541</v>
      </c>
      <c r="E405" t="inlineStr">
        <is>
          <t>JPY</t>
        </is>
      </c>
      <c r="F405" t="n">
        <v>854359</v>
      </c>
      <c r="G405" t="inlineStr">
        <is>
          <t>Paid</t>
        </is>
      </c>
      <c r="H405" s="13" t="n">
        <v>45541</v>
      </c>
    </row>
    <row r="406">
      <c r="A406" t="n">
        <v>6404</v>
      </c>
      <c r="B406" t="inlineStr">
        <is>
          <t>Cust_C</t>
        </is>
      </c>
      <c r="C406" s="13" t="n">
        <v>45640</v>
      </c>
      <c r="D406" s="13" t="n">
        <v>45685</v>
      </c>
      <c r="E406" t="inlineStr">
        <is>
          <t>EUR</t>
        </is>
      </c>
      <c r="F406" t="n">
        <v>29870.39</v>
      </c>
      <c r="G406" t="inlineStr">
        <is>
          <t>Paid</t>
        </is>
      </c>
      <c r="H406" s="13" t="n">
        <v>45688</v>
      </c>
    </row>
    <row r="407">
      <c r="A407" t="n">
        <v>6405</v>
      </c>
      <c r="B407" t="inlineStr">
        <is>
          <t>Cust_C</t>
        </is>
      </c>
      <c r="C407" s="13" t="n">
        <v>45519</v>
      </c>
      <c r="D407" s="13" t="n">
        <v>45564</v>
      </c>
      <c r="E407" t="inlineStr">
        <is>
          <t>EUR</t>
        </is>
      </c>
      <c r="F407" t="n">
        <v>7370.66</v>
      </c>
      <c r="G407" t="inlineStr">
        <is>
          <t>Paid</t>
        </is>
      </c>
      <c r="H407" s="13" t="n">
        <v>45582</v>
      </c>
    </row>
    <row r="408">
      <c r="A408" t="n">
        <v>6406</v>
      </c>
      <c r="B408" t="inlineStr">
        <is>
          <t>Cust_C</t>
        </is>
      </c>
      <c r="C408" s="13" t="n">
        <v>45458</v>
      </c>
      <c r="D408" s="13" t="n">
        <v>45518</v>
      </c>
      <c r="E408" t="inlineStr">
        <is>
          <t>EUR</t>
        </is>
      </c>
      <c r="F408" t="n">
        <v>8414.809999999999</v>
      </c>
      <c r="G408" t="inlineStr">
        <is>
          <t>Paid</t>
        </is>
      </c>
      <c r="H408" s="13" t="n">
        <v>45537</v>
      </c>
    </row>
    <row r="409">
      <c r="A409" t="n">
        <v>6407</v>
      </c>
      <c r="B409" t="inlineStr">
        <is>
          <t>Cust_D</t>
        </is>
      </c>
      <c r="C409" s="13" t="n">
        <v>45410</v>
      </c>
      <c r="D409" s="13" t="n">
        <v>45440</v>
      </c>
      <c r="E409" t="inlineStr">
        <is>
          <t>USD</t>
        </is>
      </c>
      <c r="F409" t="n">
        <v>7089.17</v>
      </c>
      <c r="G409" t="inlineStr">
        <is>
          <t>Paid</t>
        </is>
      </c>
      <c r="H409" s="13" t="n">
        <v>45446</v>
      </c>
    </row>
    <row r="410">
      <c r="A410" t="n">
        <v>6408</v>
      </c>
      <c r="B410" t="inlineStr">
        <is>
          <t>Cust_C</t>
        </is>
      </c>
      <c r="C410" s="13" t="n">
        <v>45340</v>
      </c>
      <c r="D410" s="13" t="n">
        <v>45370</v>
      </c>
      <c r="E410" t="inlineStr">
        <is>
          <t>JPY</t>
        </is>
      </c>
      <c r="F410" t="n">
        <v>1316509</v>
      </c>
      <c r="G410" t="inlineStr">
        <is>
          <t>Overdue</t>
        </is>
      </c>
    </row>
    <row r="411">
      <c r="A411" t="n">
        <v>6409</v>
      </c>
      <c r="B411" t="inlineStr">
        <is>
          <t>Cust_B</t>
        </is>
      </c>
      <c r="C411" s="13" t="n">
        <v>45560</v>
      </c>
      <c r="D411" s="13" t="n">
        <v>45605</v>
      </c>
      <c r="E411" t="inlineStr">
        <is>
          <t>EUR</t>
        </is>
      </c>
      <c r="F411" t="n">
        <v>19539.6</v>
      </c>
      <c r="G411" t="inlineStr">
        <is>
          <t>Paid</t>
        </is>
      </c>
      <c r="H411" s="13" t="n">
        <v>45606</v>
      </c>
    </row>
    <row r="412">
      <c r="A412" t="n">
        <v>6410</v>
      </c>
      <c r="B412" t="inlineStr">
        <is>
          <t>Cust_B</t>
        </is>
      </c>
      <c r="C412" s="13" t="n">
        <v>45405</v>
      </c>
      <c r="D412" s="13" t="n">
        <v>45450</v>
      </c>
      <c r="E412" t="inlineStr">
        <is>
          <t>EUR</t>
        </is>
      </c>
      <c r="F412" t="n">
        <v>8299.07</v>
      </c>
      <c r="G412" t="inlineStr">
        <is>
          <t>Paid</t>
        </is>
      </c>
      <c r="H412" s="13" t="n">
        <v>45466</v>
      </c>
    </row>
    <row r="413">
      <c r="A413" t="n">
        <v>6411</v>
      </c>
      <c r="B413" t="inlineStr">
        <is>
          <t>Cust_A</t>
        </is>
      </c>
      <c r="C413" s="13" t="n">
        <v>45396</v>
      </c>
      <c r="D413" s="13" t="n">
        <v>45426</v>
      </c>
      <c r="E413" t="inlineStr">
        <is>
          <t>EUR</t>
        </is>
      </c>
      <c r="F413" t="n">
        <v>9902.27</v>
      </c>
      <c r="G413" t="inlineStr">
        <is>
          <t>Paid</t>
        </is>
      </c>
      <c r="H413" s="13" t="n">
        <v>45433</v>
      </c>
    </row>
    <row r="414">
      <c r="A414" t="n">
        <v>6412</v>
      </c>
      <c r="B414" t="inlineStr">
        <is>
          <t>Cust_D</t>
        </is>
      </c>
      <c r="C414" s="13" t="n">
        <v>45654</v>
      </c>
      <c r="D414" s="13" t="n">
        <v>45714</v>
      </c>
      <c r="E414" t="inlineStr">
        <is>
          <t>EUR</t>
        </is>
      </c>
      <c r="F414" t="n">
        <v>20834.42</v>
      </c>
      <c r="G414" t="inlineStr">
        <is>
          <t>Paid</t>
        </is>
      </c>
      <c r="H414" s="13" t="n">
        <v>45720</v>
      </c>
    </row>
    <row r="415">
      <c r="A415" t="n">
        <v>6413</v>
      </c>
      <c r="B415" t="inlineStr">
        <is>
          <t>Cust_B</t>
        </is>
      </c>
      <c r="C415" s="13" t="n">
        <v>45649</v>
      </c>
      <c r="D415" s="13" t="n">
        <v>45709</v>
      </c>
      <c r="E415" t="inlineStr">
        <is>
          <t>EUR</t>
        </is>
      </c>
      <c r="F415" t="n">
        <v>6152.69</v>
      </c>
      <c r="G415" t="inlineStr">
        <is>
          <t>Paid</t>
        </is>
      </c>
      <c r="H415" s="13" t="n">
        <v>45709</v>
      </c>
    </row>
    <row r="416">
      <c r="A416" t="n">
        <v>6414</v>
      </c>
      <c r="B416" t="inlineStr">
        <is>
          <t>Cust_D</t>
        </is>
      </c>
      <c r="C416" s="13" t="n">
        <v>45427</v>
      </c>
      <c r="D416" s="13" t="n">
        <v>45457</v>
      </c>
      <c r="E416" t="inlineStr">
        <is>
          <t>EUR</t>
        </is>
      </c>
      <c r="F416" t="n">
        <v>11304.39</v>
      </c>
      <c r="G416" t="inlineStr">
        <is>
          <t>Open</t>
        </is>
      </c>
    </row>
    <row r="417">
      <c r="A417" t="n">
        <v>6415</v>
      </c>
      <c r="B417" t="inlineStr">
        <is>
          <t>Cust_C</t>
        </is>
      </c>
      <c r="C417" s="13" t="n">
        <v>45538</v>
      </c>
      <c r="D417" s="13" t="n">
        <v>45568</v>
      </c>
      <c r="E417" t="inlineStr">
        <is>
          <t>EUR</t>
        </is>
      </c>
      <c r="F417" t="n">
        <v>8595.200000000001</v>
      </c>
      <c r="G417" t="inlineStr">
        <is>
          <t>Paid</t>
        </is>
      </c>
      <c r="H417" s="13" t="n">
        <v>45583</v>
      </c>
    </row>
    <row r="418">
      <c r="A418" t="n">
        <v>6416</v>
      </c>
      <c r="B418" t="inlineStr">
        <is>
          <t>Cust_C</t>
        </is>
      </c>
      <c r="C418" s="13" t="n">
        <v>45588</v>
      </c>
      <c r="D418" s="13" t="n">
        <v>45633</v>
      </c>
      <c r="E418" t="inlineStr">
        <is>
          <t>EUR</t>
        </is>
      </c>
      <c r="F418" t="n">
        <v>23176.05</v>
      </c>
      <c r="G418" t="inlineStr">
        <is>
          <t>Open</t>
        </is>
      </c>
    </row>
    <row r="419">
      <c r="A419" t="n">
        <v>6417</v>
      </c>
      <c r="B419" t="inlineStr">
        <is>
          <t>Cust_D</t>
        </is>
      </c>
      <c r="C419" s="13" t="n">
        <v>45652</v>
      </c>
      <c r="D419" s="13" t="n">
        <v>45712</v>
      </c>
      <c r="E419" t="inlineStr">
        <is>
          <t>EUR</t>
        </is>
      </c>
      <c r="F419" t="n">
        <v>4688.5</v>
      </c>
      <c r="G419" t="inlineStr">
        <is>
          <t>Paid</t>
        </is>
      </c>
      <c r="H419" s="13" t="n">
        <v>45712</v>
      </c>
    </row>
    <row r="420">
      <c r="A420" t="n">
        <v>6418</v>
      </c>
      <c r="B420" t="inlineStr">
        <is>
          <t>Cust_B</t>
        </is>
      </c>
      <c r="C420" s="13" t="n">
        <v>45385</v>
      </c>
      <c r="D420" s="13" t="n">
        <v>45415</v>
      </c>
      <c r="E420" t="inlineStr">
        <is>
          <t>EUR</t>
        </is>
      </c>
      <c r="F420" t="n">
        <v>16045.17</v>
      </c>
      <c r="G420" t="inlineStr">
        <is>
          <t>Paid</t>
        </is>
      </c>
      <c r="H420" s="13" t="n">
        <v>45431</v>
      </c>
    </row>
    <row r="421">
      <c r="A421" t="n">
        <v>6419</v>
      </c>
      <c r="B421" t="inlineStr">
        <is>
          <t>Cust_C</t>
        </is>
      </c>
      <c r="C421" s="13" t="n">
        <v>45502</v>
      </c>
      <c r="D421" s="13" t="n">
        <v>45562</v>
      </c>
      <c r="E421" t="inlineStr">
        <is>
          <t>EUR</t>
        </is>
      </c>
      <c r="F421" t="n">
        <v>20041.72</v>
      </c>
      <c r="G421" t="inlineStr">
        <is>
          <t>Paid</t>
        </is>
      </c>
      <c r="H421" s="13" t="n">
        <v>45565</v>
      </c>
    </row>
    <row r="422">
      <c r="A422" t="n">
        <v>6420</v>
      </c>
      <c r="B422" t="inlineStr">
        <is>
          <t>Cust_B</t>
        </is>
      </c>
      <c r="C422" s="13" t="n">
        <v>45524</v>
      </c>
      <c r="D422" s="13" t="n">
        <v>45554</v>
      </c>
      <c r="E422" t="inlineStr">
        <is>
          <t>EUR</t>
        </is>
      </c>
      <c r="F422" t="n">
        <v>6336.29</v>
      </c>
      <c r="G422" t="inlineStr">
        <is>
          <t>Paid</t>
        </is>
      </c>
      <c r="H422" s="13" t="n">
        <v>45559</v>
      </c>
    </row>
    <row r="423">
      <c r="A423" t="n">
        <v>6421</v>
      </c>
      <c r="B423" t="inlineStr">
        <is>
          <t>Cust_D</t>
        </is>
      </c>
      <c r="C423" s="13" t="n">
        <v>45594</v>
      </c>
      <c r="D423" s="13" t="n">
        <v>45624</v>
      </c>
      <c r="E423" t="inlineStr">
        <is>
          <t>EUR</t>
        </is>
      </c>
      <c r="F423" t="n">
        <v>16322.16</v>
      </c>
      <c r="G423" t="inlineStr">
        <is>
          <t>Paid</t>
        </is>
      </c>
      <c r="H423" s="13" t="n">
        <v>45633</v>
      </c>
    </row>
    <row r="424">
      <c r="A424" t="n">
        <v>6422</v>
      </c>
      <c r="B424" t="inlineStr">
        <is>
          <t>Cust_B</t>
        </is>
      </c>
      <c r="C424" s="13" t="n">
        <v>45397</v>
      </c>
      <c r="D424" s="13" t="n">
        <v>45442</v>
      </c>
      <c r="E424" t="inlineStr">
        <is>
          <t>EUR</t>
        </is>
      </c>
      <c r="F424" t="n">
        <v>7566.54</v>
      </c>
      <c r="G424" t="inlineStr">
        <is>
          <t>Paid</t>
        </is>
      </c>
      <c r="H424" s="13" t="n">
        <v>45446</v>
      </c>
    </row>
    <row r="425">
      <c r="A425" t="n">
        <v>6423</v>
      </c>
      <c r="B425" t="inlineStr">
        <is>
          <t>Cust_A</t>
        </is>
      </c>
      <c r="C425" s="13" t="n">
        <v>45570</v>
      </c>
      <c r="D425" s="13" t="n">
        <v>45615</v>
      </c>
      <c r="E425" t="inlineStr">
        <is>
          <t>EUR</t>
        </is>
      </c>
      <c r="F425" t="n">
        <v>2164.06</v>
      </c>
      <c r="G425" t="inlineStr">
        <is>
          <t>Open</t>
        </is>
      </c>
    </row>
    <row r="426">
      <c r="A426" t="n">
        <v>6424</v>
      </c>
      <c r="B426" t="inlineStr">
        <is>
          <t>Cust_A</t>
        </is>
      </c>
      <c r="C426" s="13" t="n">
        <v>45529</v>
      </c>
      <c r="D426" s="13" t="n">
        <v>45559</v>
      </c>
      <c r="E426" t="inlineStr">
        <is>
          <t>EUR</t>
        </is>
      </c>
      <c r="F426" t="n">
        <v>4739.57</v>
      </c>
      <c r="G426" t="inlineStr">
        <is>
          <t>Overdue</t>
        </is>
      </c>
    </row>
    <row r="427">
      <c r="A427" t="n">
        <v>6425</v>
      </c>
      <c r="B427" t="inlineStr">
        <is>
          <t>Cust_A</t>
        </is>
      </c>
      <c r="C427" s="13" t="n">
        <v>45498</v>
      </c>
      <c r="D427" s="13" t="n">
        <v>45528</v>
      </c>
      <c r="E427" t="inlineStr">
        <is>
          <t>EUR</t>
        </is>
      </c>
      <c r="F427" t="n">
        <v>13620.69</v>
      </c>
      <c r="G427" t="inlineStr">
        <is>
          <t>Open</t>
        </is>
      </c>
    </row>
    <row r="428">
      <c r="A428" t="n">
        <v>6426</v>
      </c>
      <c r="B428" t="inlineStr">
        <is>
          <t>Cust_B</t>
        </is>
      </c>
      <c r="C428" s="13" t="n">
        <v>45414</v>
      </c>
      <c r="D428" s="13" t="n">
        <v>45474</v>
      </c>
      <c r="E428" t="inlineStr">
        <is>
          <t>EUR</t>
        </is>
      </c>
      <c r="F428" t="n">
        <v>14855.64</v>
      </c>
      <c r="G428" t="inlineStr">
        <is>
          <t>Paid</t>
        </is>
      </c>
      <c r="H428" s="13" t="n">
        <v>45489</v>
      </c>
    </row>
    <row r="429">
      <c r="A429" t="n">
        <v>6427</v>
      </c>
      <c r="B429" t="inlineStr">
        <is>
          <t>Cust_B</t>
        </is>
      </c>
      <c r="C429" s="13" t="n">
        <v>45580</v>
      </c>
      <c r="D429" s="13" t="n">
        <v>45640</v>
      </c>
      <c r="E429" t="inlineStr">
        <is>
          <t>EUR</t>
        </is>
      </c>
      <c r="F429" t="n">
        <v>21490.93</v>
      </c>
      <c r="G429" t="inlineStr">
        <is>
          <t>Paid</t>
        </is>
      </c>
      <c r="H429" s="13" t="n">
        <v>45646</v>
      </c>
    </row>
    <row r="430">
      <c r="A430" t="n">
        <v>6428</v>
      </c>
      <c r="B430" t="inlineStr">
        <is>
          <t>Cust_C</t>
        </is>
      </c>
      <c r="C430" s="13" t="n">
        <v>45406</v>
      </c>
      <c r="D430" s="13" t="n">
        <v>45451</v>
      </c>
      <c r="E430" t="inlineStr">
        <is>
          <t>JPY</t>
        </is>
      </c>
      <c r="F430" t="n">
        <v>345255</v>
      </c>
      <c r="G430" t="inlineStr">
        <is>
          <t>Paid</t>
        </is>
      </c>
      <c r="H430" s="13" t="n">
        <v>45467</v>
      </c>
    </row>
    <row r="431">
      <c r="A431" t="n">
        <v>6429</v>
      </c>
      <c r="B431" t="inlineStr">
        <is>
          <t>Cust_B</t>
        </is>
      </c>
      <c r="C431" s="13" t="n">
        <v>45592</v>
      </c>
      <c r="D431" s="13" t="n">
        <v>45652</v>
      </c>
      <c r="E431" t="inlineStr">
        <is>
          <t>EUR</t>
        </is>
      </c>
      <c r="F431" t="n">
        <v>7739.44</v>
      </c>
      <c r="G431" t="inlineStr">
        <is>
          <t>Paid</t>
        </is>
      </c>
      <c r="H431" s="13" t="n">
        <v>45655</v>
      </c>
    </row>
    <row r="432">
      <c r="A432" t="n">
        <v>6430</v>
      </c>
      <c r="B432" t="inlineStr">
        <is>
          <t>Cust_B</t>
        </is>
      </c>
      <c r="C432" s="13" t="n">
        <v>45401</v>
      </c>
      <c r="D432" s="13" t="n">
        <v>45431</v>
      </c>
      <c r="E432" t="inlineStr">
        <is>
          <t>EUR</t>
        </is>
      </c>
      <c r="F432" t="n">
        <v>20123.32</v>
      </c>
      <c r="G432" t="inlineStr">
        <is>
          <t>Paid</t>
        </is>
      </c>
      <c r="H432" s="13" t="n">
        <v>45451</v>
      </c>
    </row>
    <row r="433">
      <c r="A433" t="n">
        <v>6431</v>
      </c>
      <c r="B433" t="inlineStr">
        <is>
          <t>Cust_D</t>
        </is>
      </c>
      <c r="C433" s="13" t="n">
        <v>45549</v>
      </c>
      <c r="D433" s="13" t="n">
        <v>45579</v>
      </c>
      <c r="E433" t="inlineStr">
        <is>
          <t>EUR</t>
        </is>
      </c>
      <c r="F433" t="n">
        <v>21020.54</v>
      </c>
      <c r="G433" t="inlineStr">
        <is>
          <t>Paid</t>
        </is>
      </c>
      <c r="H433" s="13" t="n">
        <v>45585</v>
      </c>
    </row>
    <row r="434">
      <c r="A434" t="n">
        <v>6432</v>
      </c>
      <c r="B434" t="inlineStr">
        <is>
          <t>Cust_D</t>
        </is>
      </c>
      <c r="C434" s="13" t="n">
        <v>45655</v>
      </c>
      <c r="D434" s="13" t="n">
        <v>45685</v>
      </c>
      <c r="E434" t="inlineStr">
        <is>
          <t>EUR</t>
        </is>
      </c>
      <c r="F434" t="n">
        <v>2064.51</v>
      </c>
      <c r="G434" t="inlineStr">
        <is>
          <t>Paid</t>
        </is>
      </c>
      <c r="H434" s="13" t="n">
        <v>45696</v>
      </c>
    </row>
    <row r="435">
      <c r="A435" t="n">
        <v>6433</v>
      </c>
      <c r="B435" t="inlineStr">
        <is>
          <t>Cust_B</t>
        </is>
      </c>
      <c r="C435" s="13" t="n">
        <v>45362</v>
      </c>
      <c r="D435" s="13" t="n">
        <v>45392</v>
      </c>
      <c r="E435" t="inlineStr">
        <is>
          <t>EUR</t>
        </is>
      </c>
      <c r="F435" t="n">
        <v>4700.58</v>
      </c>
      <c r="G435" t="inlineStr">
        <is>
          <t>Open</t>
        </is>
      </c>
    </row>
    <row r="436">
      <c r="A436" t="n">
        <v>6434</v>
      </c>
      <c r="B436" t="inlineStr">
        <is>
          <t>Cust_B</t>
        </is>
      </c>
      <c r="C436" s="13" t="n">
        <v>45489</v>
      </c>
      <c r="D436" s="13" t="n">
        <v>45519</v>
      </c>
      <c r="E436" t="inlineStr">
        <is>
          <t>EUR</t>
        </is>
      </c>
      <c r="F436" t="n">
        <v>4768.6</v>
      </c>
      <c r="G436" t="inlineStr">
        <is>
          <t>Paid</t>
        </is>
      </c>
      <c r="H436" s="13" t="n">
        <v>45536</v>
      </c>
    </row>
    <row r="437">
      <c r="A437" t="n">
        <v>6435</v>
      </c>
      <c r="B437" t="inlineStr">
        <is>
          <t>Cust_C</t>
        </is>
      </c>
      <c r="C437" s="13" t="n">
        <v>45519</v>
      </c>
      <c r="D437" s="13" t="n">
        <v>45564</v>
      </c>
      <c r="E437" t="inlineStr">
        <is>
          <t>JPY</t>
        </is>
      </c>
      <c r="F437" t="n">
        <v>454822</v>
      </c>
      <c r="G437" t="inlineStr">
        <is>
          <t>Overdue</t>
        </is>
      </c>
    </row>
    <row r="438">
      <c r="A438" t="n">
        <v>6436</v>
      </c>
      <c r="B438" t="inlineStr">
        <is>
          <t>Cust_B</t>
        </is>
      </c>
      <c r="C438" s="13" t="n">
        <v>45596</v>
      </c>
      <c r="D438" s="13" t="n">
        <v>45626</v>
      </c>
      <c r="E438" t="inlineStr">
        <is>
          <t>EUR</t>
        </is>
      </c>
      <c r="F438" t="n">
        <v>9785.98</v>
      </c>
      <c r="G438" t="inlineStr">
        <is>
          <t>Paid</t>
        </is>
      </c>
      <c r="H438" s="13" t="n">
        <v>45643</v>
      </c>
    </row>
    <row r="439">
      <c r="A439" t="n">
        <v>6437</v>
      </c>
      <c r="B439" t="inlineStr">
        <is>
          <t>Cust_A</t>
        </is>
      </c>
      <c r="C439" s="13" t="n">
        <v>45485</v>
      </c>
      <c r="D439" s="13" t="n">
        <v>45530</v>
      </c>
      <c r="E439" t="inlineStr">
        <is>
          <t>EUR</t>
        </is>
      </c>
      <c r="F439" t="n">
        <v>9631.559999999999</v>
      </c>
      <c r="G439" t="inlineStr">
        <is>
          <t>Paid</t>
        </is>
      </c>
      <c r="H439" s="13" t="n">
        <v>45540</v>
      </c>
    </row>
    <row r="440">
      <c r="A440" t="n">
        <v>6438</v>
      </c>
      <c r="B440" t="inlineStr">
        <is>
          <t>Cust_C</t>
        </is>
      </c>
      <c r="C440" s="13" t="n">
        <v>45646</v>
      </c>
      <c r="D440" s="13" t="n">
        <v>45676</v>
      </c>
      <c r="E440" t="inlineStr">
        <is>
          <t>EUR</t>
        </is>
      </c>
      <c r="F440" t="n">
        <v>2778.13</v>
      </c>
      <c r="G440" t="inlineStr">
        <is>
          <t>Paid</t>
        </is>
      </c>
      <c r="H440" s="13" t="n">
        <v>45685</v>
      </c>
    </row>
    <row r="441">
      <c r="A441" t="n">
        <v>6439</v>
      </c>
      <c r="B441" t="inlineStr">
        <is>
          <t>Cust_A</t>
        </is>
      </c>
      <c r="C441" s="13" t="n">
        <v>45626</v>
      </c>
      <c r="D441" s="13" t="n">
        <v>45686</v>
      </c>
      <c r="E441" t="inlineStr">
        <is>
          <t>EUR</t>
        </is>
      </c>
      <c r="F441" t="n">
        <v>11431.51</v>
      </c>
      <c r="G441" t="inlineStr">
        <is>
          <t>Paid</t>
        </is>
      </c>
      <c r="H441" s="13" t="n">
        <v>45687</v>
      </c>
    </row>
    <row r="442">
      <c r="A442" t="n">
        <v>6440</v>
      </c>
      <c r="B442" t="inlineStr">
        <is>
          <t>Cust_A</t>
        </is>
      </c>
      <c r="C442" s="13" t="n">
        <v>45624</v>
      </c>
      <c r="D442" s="13" t="n">
        <v>45654</v>
      </c>
      <c r="E442" t="inlineStr">
        <is>
          <t>EUR</t>
        </is>
      </c>
      <c r="F442" t="n">
        <v>6414.07</v>
      </c>
      <c r="G442" t="inlineStr">
        <is>
          <t>Paid</t>
        </is>
      </c>
      <c r="H442" s="13" t="n">
        <v>45665</v>
      </c>
    </row>
    <row r="443">
      <c r="A443" t="n">
        <v>6441</v>
      </c>
      <c r="B443" t="inlineStr">
        <is>
          <t>Cust_A</t>
        </is>
      </c>
      <c r="C443" s="13" t="n">
        <v>45588</v>
      </c>
      <c r="D443" s="13" t="n">
        <v>45618</v>
      </c>
      <c r="E443" t="inlineStr">
        <is>
          <t>EUR</t>
        </is>
      </c>
      <c r="F443" t="n">
        <v>6837.9</v>
      </c>
      <c r="G443" t="inlineStr">
        <is>
          <t>Paid</t>
        </is>
      </c>
      <c r="H443" s="13" t="n">
        <v>45629</v>
      </c>
    </row>
    <row r="444">
      <c r="A444" t="n">
        <v>6442</v>
      </c>
      <c r="B444" t="inlineStr">
        <is>
          <t>Cust_D</t>
        </is>
      </c>
      <c r="C444" s="13" t="n">
        <v>45437</v>
      </c>
      <c r="D444" s="13" t="n">
        <v>45467</v>
      </c>
      <c r="E444" t="inlineStr">
        <is>
          <t>EUR</t>
        </is>
      </c>
      <c r="F444" t="n">
        <v>18944.86</v>
      </c>
      <c r="G444" t="inlineStr">
        <is>
          <t>Paid</t>
        </is>
      </c>
      <c r="H444" s="13" t="n">
        <v>45476</v>
      </c>
    </row>
    <row r="445">
      <c r="A445" t="n">
        <v>6443</v>
      </c>
      <c r="B445" t="inlineStr">
        <is>
          <t>Cust_A</t>
        </is>
      </c>
      <c r="C445" s="13" t="n">
        <v>45296</v>
      </c>
      <c r="D445" s="13" t="n">
        <v>45356</v>
      </c>
      <c r="E445" t="inlineStr">
        <is>
          <t>EUR</t>
        </is>
      </c>
      <c r="F445" t="n">
        <v>5141.89</v>
      </c>
      <c r="G445" t="inlineStr">
        <is>
          <t>Paid</t>
        </is>
      </c>
      <c r="H445" s="13" t="n">
        <v>45362</v>
      </c>
    </row>
    <row r="446">
      <c r="A446" t="n">
        <v>6444</v>
      </c>
      <c r="B446" t="inlineStr">
        <is>
          <t>Cust_C</t>
        </is>
      </c>
      <c r="C446" s="13" t="n">
        <v>45364</v>
      </c>
      <c r="D446" s="13" t="n">
        <v>45409</v>
      </c>
      <c r="E446" t="inlineStr">
        <is>
          <t>EUR</t>
        </is>
      </c>
      <c r="F446" t="n">
        <v>6385.07</v>
      </c>
      <c r="G446" t="inlineStr">
        <is>
          <t>Paid</t>
        </is>
      </c>
      <c r="H446" s="13" t="n">
        <v>45413</v>
      </c>
    </row>
    <row r="447">
      <c r="A447" t="n">
        <v>6445</v>
      </c>
      <c r="B447" t="inlineStr">
        <is>
          <t>Cust_D</t>
        </is>
      </c>
      <c r="C447" s="13" t="n">
        <v>45472</v>
      </c>
      <c r="D447" s="13" t="n">
        <v>45502</v>
      </c>
      <c r="E447" t="inlineStr">
        <is>
          <t>EUR</t>
        </is>
      </c>
      <c r="F447" t="n">
        <v>12814.54</v>
      </c>
      <c r="G447" t="inlineStr">
        <is>
          <t>Overdue</t>
        </is>
      </c>
    </row>
    <row r="448">
      <c r="A448" t="n">
        <v>6446</v>
      </c>
      <c r="B448" t="inlineStr">
        <is>
          <t>Cust_D</t>
        </is>
      </c>
      <c r="C448" s="13" t="n">
        <v>45434</v>
      </c>
      <c r="D448" s="13" t="n">
        <v>45479</v>
      </c>
      <c r="E448" t="inlineStr">
        <is>
          <t>EUR</t>
        </is>
      </c>
      <c r="F448" t="n">
        <v>2019.49</v>
      </c>
      <c r="G448" t="inlineStr">
        <is>
          <t>Open</t>
        </is>
      </c>
    </row>
    <row r="449">
      <c r="A449" t="n">
        <v>6447</v>
      </c>
      <c r="B449" t="inlineStr">
        <is>
          <t>Cust_A</t>
        </is>
      </c>
      <c r="C449" s="13" t="n">
        <v>45386</v>
      </c>
      <c r="D449" s="13" t="n">
        <v>45416</v>
      </c>
      <c r="E449" t="inlineStr">
        <is>
          <t>EUR</t>
        </is>
      </c>
      <c r="F449" t="n">
        <v>4906.17</v>
      </c>
      <c r="G449" t="inlineStr">
        <is>
          <t>Open</t>
        </is>
      </c>
    </row>
    <row r="450">
      <c r="A450" t="n">
        <v>6448</v>
      </c>
      <c r="B450" t="inlineStr">
        <is>
          <t>Cust_D</t>
        </is>
      </c>
      <c r="C450" s="13" t="n">
        <v>45312</v>
      </c>
      <c r="D450" s="13" t="n">
        <v>45357</v>
      </c>
      <c r="E450" t="inlineStr">
        <is>
          <t>JPY</t>
        </is>
      </c>
      <c r="F450" t="n">
        <v>1609052</v>
      </c>
      <c r="G450" t="inlineStr">
        <is>
          <t>Open</t>
        </is>
      </c>
    </row>
    <row r="451">
      <c r="A451" t="n">
        <v>6449</v>
      </c>
      <c r="B451" t="inlineStr">
        <is>
          <t>Cust_B</t>
        </is>
      </c>
      <c r="C451" s="13" t="n">
        <v>45487</v>
      </c>
      <c r="D451" s="13" t="n">
        <v>45547</v>
      </c>
      <c r="E451" t="inlineStr">
        <is>
          <t>EUR</t>
        </is>
      </c>
      <c r="F451" t="n">
        <v>11949.55</v>
      </c>
      <c r="G451" t="inlineStr">
        <is>
          <t>Paid</t>
        </is>
      </c>
      <c r="H451" s="13" t="n">
        <v>45559</v>
      </c>
    </row>
    <row r="452">
      <c r="A452" t="n">
        <v>6450</v>
      </c>
      <c r="B452" t="inlineStr">
        <is>
          <t>Cust_A</t>
        </is>
      </c>
      <c r="C452" s="13" t="n">
        <v>45556</v>
      </c>
      <c r="D452" s="13" t="n">
        <v>45586</v>
      </c>
      <c r="E452" t="inlineStr">
        <is>
          <t>EUR</t>
        </is>
      </c>
      <c r="F452" t="n">
        <v>3978.71</v>
      </c>
      <c r="G452" t="inlineStr">
        <is>
          <t>Paid</t>
        </is>
      </c>
      <c r="H452" s="13" t="n">
        <v>45587</v>
      </c>
    </row>
    <row r="453">
      <c r="A453" t="n">
        <v>6451</v>
      </c>
      <c r="B453" t="inlineStr">
        <is>
          <t>Cust_D</t>
        </is>
      </c>
      <c r="C453" s="13" t="n">
        <v>45455</v>
      </c>
      <c r="D453" s="13" t="n">
        <v>45485</v>
      </c>
      <c r="E453" t="inlineStr">
        <is>
          <t>EUR</t>
        </is>
      </c>
      <c r="F453" t="n">
        <v>14432.37</v>
      </c>
      <c r="G453" t="inlineStr">
        <is>
          <t>Open</t>
        </is>
      </c>
    </row>
    <row r="454">
      <c r="A454" t="n">
        <v>6452</v>
      </c>
      <c r="B454" t="inlineStr">
        <is>
          <t>Cust_C</t>
        </is>
      </c>
      <c r="C454" s="13" t="n">
        <v>45475</v>
      </c>
      <c r="D454" s="13" t="n">
        <v>45520</v>
      </c>
      <c r="E454" t="inlineStr">
        <is>
          <t>USD</t>
        </is>
      </c>
      <c r="F454" t="n">
        <v>1845.13</v>
      </c>
      <c r="G454" t="inlineStr">
        <is>
          <t>Paid</t>
        </is>
      </c>
      <c r="H454" s="13" t="n">
        <v>45536</v>
      </c>
    </row>
    <row r="455">
      <c r="A455" t="n">
        <v>6453</v>
      </c>
      <c r="B455" t="inlineStr">
        <is>
          <t>Cust_B</t>
        </is>
      </c>
      <c r="C455" s="13" t="n">
        <v>45294</v>
      </c>
      <c r="D455" s="13" t="n">
        <v>45354</v>
      </c>
      <c r="E455" t="inlineStr">
        <is>
          <t>EUR</t>
        </is>
      </c>
      <c r="F455" t="n">
        <v>2754.81</v>
      </c>
      <c r="G455" t="inlineStr">
        <is>
          <t>Paid</t>
        </is>
      </c>
      <c r="H455" s="13" t="n">
        <v>45373</v>
      </c>
    </row>
    <row r="456">
      <c r="A456" t="n">
        <v>6454</v>
      </c>
      <c r="B456" t="inlineStr">
        <is>
          <t>Cust_A</t>
        </is>
      </c>
      <c r="C456" s="13" t="n">
        <v>45356</v>
      </c>
      <c r="D456" s="13" t="n">
        <v>45416</v>
      </c>
      <c r="E456" t="inlineStr">
        <is>
          <t>EUR</t>
        </is>
      </c>
      <c r="F456" t="n">
        <v>15654.05</v>
      </c>
      <c r="G456" t="inlineStr">
        <is>
          <t>Open</t>
        </is>
      </c>
    </row>
    <row r="457">
      <c r="A457" t="n">
        <v>6455</v>
      </c>
      <c r="B457" t="inlineStr">
        <is>
          <t>Cust_C</t>
        </is>
      </c>
      <c r="C457" s="13" t="n">
        <v>45308</v>
      </c>
      <c r="D457" s="13" t="n">
        <v>45338</v>
      </c>
      <c r="E457" t="inlineStr">
        <is>
          <t>EUR</t>
        </is>
      </c>
      <c r="F457" t="n">
        <v>12420.98</v>
      </c>
      <c r="G457" t="inlineStr">
        <is>
          <t>Paid</t>
        </is>
      </c>
      <c r="H457" s="13" t="n">
        <v>45350</v>
      </c>
    </row>
    <row r="458">
      <c r="A458" t="n">
        <v>6456</v>
      </c>
      <c r="B458" t="inlineStr">
        <is>
          <t>Cust_C</t>
        </is>
      </c>
      <c r="C458" s="13" t="n">
        <v>45337</v>
      </c>
      <c r="D458" s="13" t="n">
        <v>45367</v>
      </c>
      <c r="E458" t="inlineStr">
        <is>
          <t>EUR</t>
        </is>
      </c>
      <c r="F458" t="n">
        <v>3451.17</v>
      </c>
      <c r="G458" t="inlineStr">
        <is>
          <t>Overdue</t>
        </is>
      </c>
    </row>
    <row r="459">
      <c r="A459" t="n">
        <v>6457</v>
      </c>
      <c r="B459" t="inlineStr">
        <is>
          <t>Cust_D</t>
        </is>
      </c>
      <c r="C459" s="13" t="n">
        <v>45523</v>
      </c>
      <c r="D459" s="13" t="n">
        <v>45553</v>
      </c>
      <c r="E459" t="inlineStr">
        <is>
          <t>EUR</t>
        </is>
      </c>
      <c r="F459" t="n">
        <v>8076.29</v>
      </c>
      <c r="G459" t="inlineStr">
        <is>
          <t>Paid</t>
        </is>
      </c>
      <c r="H459" s="13" t="n">
        <v>45572</v>
      </c>
    </row>
    <row r="460">
      <c r="A460" t="n">
        <v>6458</v>
      </c>
      <c r="B460" t="inlineStr">
        <is>
          <t>Cust_A</t>
        </is>
      </c>
      <c r="C460" s="13" t="n">
        <v>45504</v>
      </c>
      <c r="D460" s="13" t="n">
        <v>45549</v>
      </c>
      <c r="E460" t="inlineStr">
        <is>
          <t>EUR</t>
        </is>
      </c>
      <c r="F460" t="n">
        <v>16341.04</v>
      </c>
      <c r="G460" t="inlineStr">
        <is>
          <t>Paid</t>
        </is>
      </c>
      <c r="H460" s="13" t="n">
        <v>45551</v>
      </c>
    </row>
    <row r="461">
      <c r="A461" t="n">
        <v>6459</v>
      </c>
      <c r="B461" t="inlineStr">
        <is>
          <t>Cust_A</t>
        </is>
      </c>
      <c r="C461" s="13" t="n">
        <v>45612</v>
      </c>
      <c r="D461" s="13" t="n">
        <v>45657</v>
      </c>
      <c r="E461" t="inlineStr">
        <is>
          <t>EUR</t>
        </is>
      </c>
      <c r="F461" t="n">
        <v>21479.45</v>
      </c>
      <c r="G461" t="inlineStr">
        <is>
          <t>Overdue</t>
        </is>
      </c>
    </row>
    <row r="462">
      <c r="A462" t="n">
        <v>6460</v>
      </c>
      <c r="B462" t="inlineStr">
        <is>
          <t>Cust_B</t>
        </is>
      </c>
      <c r="C462" s="13" t="n">
        <v>45553</v>
      </c>
      <c r="D462" s="13" t="n">
        <v>45613</v>
      </c>
      <c r="E462" t="inlineStr">
        <is>
          <t>EUR</t>
        </is>
      </c>
      <c r="F462" t="n">
        <v>6532.85</v>
      </c>
      <c r="G462" t="inlineStr">
        <is>
          <t>Paid</t>
        </is>
      </c>
      <c r="H462" s="13" t="n">
        <v>45626</v>
      </c>
    </row>
    <row r="463">
      <c r="A463" t="n">
        <v>6461</v>
      </c>
      <c r="B463" t="inlineStr">
        <is>
          <t>Cust_C</t>
        </is>
      </c>
      <c r="C463" s="13" t="n">
        <v>45339</v>
      </c>
      <c r="D463" s="13" t="n">
        <v>45384</v>
      </c>
      <c r="E463" t="inlineStr">
        <is>
          <t>EUR</t>
        </is>
      </c>
      <c r="F463" t="n">
        <v>8574.360000000001</v>
      </c>
      <c r="G463" t="inlineStr">
        <is>
          <t>Paid</t>
        </is>
      </c>
      <c r="H463" s="13" t="n">
        <v>45398</v>
      </c>
    </row>
    <row r="464">
      <c r="A464" t="n">
        <v>6462</v>
      </c>
      <c r="B464" t="inlineStr">
        <is>
          <t>Cust_A</t>
        </is>
      </c>
      <c r="C464" s="13" t="n">
        <v>45632</v>
      </c>
      <c r="D464" s="13" t="n">
        <v>45677</v>
      </c>
      <c r="E464" t="inlineStr">
        <is>
          <t>EUR</t>
        </is>
      </c>
      <c r="F464" t="n">
        <v>8708.559999999999</v>
      </c>
      <c r="G464" t="inlineStr">
        <is>
          <t>Paid</t>
        </is>
      </c>
      <c r="H464" s="13" t="n">
        <v>45692</v>
      </c>
    </row>
    <row r="465">
      <c r="A465" t="n">
        <v>6463</v>
      </c>
      <c r="B465" t="inlineStr">
        <is>
          <t>Cust_A</t>
        </is>
      </c>
      <c r="C465" s="13" t="n">
        <v>45293</v>
      </c>
      <c r="D465" s="13" t="n">
        <v>45353</v>
      </c>
      <c r="E465" t="inlineStr">
        <is>
          <t>EUR</t>
        </is>
      </c>
      <c r="F465" t="n">
        <v>3261.36</v>
      </c>
      <c r="G465" t="inlineStr">
        <is>
          <t>Paid</t>
        </is>
      </c>
      <c r="H465" s="13" t="n">
        <v>45358</v>
      </c>
    </row>
    <row r="466">
      <c r="A466" t="n">
        <v>6464</v>
      </c>
      <c r="B466" t="inlineStr">
        <is>
          <t>Cust_B</t>
        </is>
      </c>
      <c r="C466" s="13" t="n">
        <v>45306</v>
      </c>
      <c r="D466" s="13" t="n">
        <v>45336</v>
      </c>
      <c r="E466" t="inlineStr">
        <is>
          <t>EUR</t>
        </is>
      </c>
      <c r="F466" t="n">
        <v>7058.18</v>
      </c>
      <c r="G466" t="inlineStr">
        <is>
          <t>Paid</t>
        </is>
      </c>
      <c r="H466" s="13" t="n">
        <v>45343</v>
      </c>
    </row>
    <row r="467">
      <c r="A467" t="n">
        <v>6465</v>
      </c>
      <c r="B467" t="inlineStr">
        <is>
          <t>Cust_B</t>
        </is>
      </c>
      <c r="C467" s="13" t="n">
        <v>45495</v>
      </c>
      <c r="D467" s="13" t="n">
        <v>45525</v>
      </c>
      <c r="E467" t="inlineStr">
        <is>
          <t>EUR</t>
        </is>
      </c>
      <c r="F467" t="n">
        <v>2012.19</v>
      </c>
      <c r="G467" t="inlineStr">
        <is>
          <t>Paid</t>
        </is>
      </c>
      <c r="H467" s="13" t="n">
        <v>45538</v>
      </c>
    </row>
    <row r="468">
      <c r="A468" t="n">
        <v>6466</v>
      </c>
      <c r="B468" t="inlineStr">
        <is>
          <t>Cust_B</t>
        </is>
      </c>
      <c r="C468" s="13" t="n">
        <v>45518</v>
      </c>
      <c r="D468" s="13" t="n">
        <v>45578</v>
      </c>
      <c r="E468" t="inlineStr">
        <is>
          <t>EUR</t>
        </is>
      </c>
      <c r="F468" t="n">
        <v>4352.69</v>
      </c>
      <c r="G468" t="inlineStr">
        <is>
          <t>Paid</t>
        </is>
      </c>
      <c r="H468" s="13" t="n">
        <v>45594</v>
      </c>
    </row>
    <row r="469">
      <c r="A469" t="n">
        <v>6467</v>
      </c>
      <c r="B469" t="inlineStr">
        <is>
          <t>Cust_B</t>
        </is>
      </c>
      <c r="C469" s="13" t="n">
        <v>45371</v>
      </c>
      <c r="D469" s="13" t="n">
        <v>45431</v>
      </c>
      <c r="E469" t="inlineStr">
        <is>
          <t>EUR</t>
        </is>
      </c>
      <c r="F469" t="n">
        <v>8708.16</v>
      </c>
      <c r="G469" t="inlineStr">
        <is>
          <t>Paid</t>
        </is>
      </c>
      <c r="H469" s="13" t="n">
        <v>45448</v>
      </c>
    </row>
    <row r="470">
      <c r="A470" t="n">
        <v>6468</v>
      </c>
      <c r="B470" t="inlineStr">
        <is>
          <t>Cust_A</t>
        </is>
      </c>
      <c r="C470" s="13" t="n">
        <v>45332</v>
      </c>
      <c r="D470" s="13" t="n">
        <v>45392</v>
      </c>
      <c r="E470" t="inlineStr">
        <is>
          <t>EUR</t>
        </is>
      </c>
      <c r="F470" t="n">
        <v>6797.39</v>
      </c>
      <c r="G470" t="inlineStr">
        <is>
          <t>Overdue</t>
        </is>
      </c>
    </row>
    <row r="471">
      <c r="A471" t="n">
        <v>6469</v>
      </c>
      <c r="B471" t="inlineStr">
        <is>
          <t>Cust_B</t>
        </is>
      </c>
      <c r="C471" s="13" t="n">
        <v>45356</v>
      </c>
      <c r="D471" s="13" t="n">
        <v>45416</v>
      </c>
      <c r="E471" t="inlineStr">
        <is>
          <t>USD</t>
        </is>
      </c>
      <c r="F471" t="n">
        <v>2373.28</v>
      </c>
      <c r="G471" t="inlineStr">
        <is>
          <t>Paid</t>
        </is>
      </c>
      <c r="H471" s="13" t="n">
        <v>45422</v>
      </c>
    </row>
    <row r="472">
      <c r="A472" t="n">
        <v>6470</v>
      </c>
      <c r="B472" t="inlineStr">
        <is>
          <t>Cust_C</t>
        </is>
      </c>
      <c r="C472" s="13" t="n">
        <v>45448</v>
      </c>
      <c r="D472" s="13" t="n">
        <v>45508</v>
      </c>
      <c r="E472" t="inlineStr">
        <is>
          <t>EUR</t>
        </is>
      </c>
      <c r="F472" t="n">
        <v>14978.6</v>
      </c>
      <c r="G472" t="inlineStr">
        <is>
          <t>Open</t>
        </is>
      </c>
    </row>
    <row r="473">
      <c r="A473" t="n">
        <v>6471</v>
      </c>
      <c r="B473" t="inlineStr">
        <is>
          <t>Cust_C</t>
        </is>
      </c>
      <c r="C473" s="13" t="n">
        <v>45294</v>
      </c>
      <c r="D473" s="13" t="n">
        <v>45354</v>
      </c>
      <c r="E473" t="inlineStr">
        <is>
          <t>USD</t>
        </is>
      </c>
      <c r="F473" t="n">
        <v>6677.87</v>
      </c>
      <c r="G473" t="inlineStr">
        <is>
          <t>Overdue</t>
        </is>
      </c>
    </row>
    <row r="474">
      <c r="A474" t="n">
        <v>6472</v>
      </c>
      <c r="B474" t="inlineStr">
        <is>
          <t>Cust_C</t>
        </is>
      </c>
      <c r="C474" s="13" t="n">
        <v>45407</v>
      </c>
      <c r="D474" s="13" t="n">
        <v>45467</v>
      </c>
      <c r="E474" t="inlineStr">
        <is>
          <t>EUR</t>
        </is>
      </c>
      <c r="F474" t="n">
        <v>24675.17</v>
      </c>
      <c r="G474" t="inlineStr">
        <is>
          <t>Paid</t>
        </is>
      </c>
      <c r="H474" s="13" t="n">
        <v>45481</v>
      </c>
    </row>
    <row r="475">
      <c r="A475" t="n">
        <v>6473</v>
      </c>
      <c r="B475" t="inlineStr">
        <is>
          <t>Cust_C</t>
        </is>
      </c>
      <c r="C475" s="13" t="n">
        <v>45642</v>
      </c>
      <c r="D475" s="13" t="n">
        <v>45702</v>
      </c>
      <c r="E475" t="inlineStr">
        <is>
          <t>EUR</t>
        </is>
      </c>
      <c r="F475" t="n">
        <v>19581.3</v>
      </c>
      <c r="G475" t="inlineStr">
        <is>
          <t>Paid</t>
        </is>
      </c>
      <c r="H475" s="13" t="n">
        <v>45720</v>
      </c>
    </row>
    <row r="476">
      <c r="A476" t="n">
        <v>6474</v>
      </c>
      <c r="B476" t="inlineStr">
        <is>
          <t>Cust_C</t>
        </is>
      </c>
      <c r="C476" s="13" t="n">
        <v>45420</v>
      </c>
      <c r="D476" s="13" t="n">
        <v>45465</v>
      </c>
      <c r="E476" t="inlineStr">
        <is>
          <t>EUR</t>
        </is>
      </c>
      <c r="F476" t="n">
        <v>15173.76</v>
      </c>
      <c r="G476" t="inlineStr">
        <is>
          <t>Paid</t>
        </is>
      </c>
      <c r="H476" s="13" t="n">
        <v>45468</v>
      </c>
    </row>
    <row r="477">
      <c r="A477" t="n">
        <v>6475</v>
      </c>
      <c r="B477" t="inlineStr">
        <is>
          <t>Cust_B</t>
        </is>
      </c>
      <c r="C477" s="13" t="n">
        <v>45513</v>
      </c>
      <c r="D477" s="13" t="n">
        <v>45573</v>
      </c>
      <c r="E477" t="inlineStr">
        <is>
          <t>EUR</t>
        </is>
      </c>
      <c r="F477" t="n">
        <v>5963.72</v>
      </c>
      <c r="G477" t="inlineStr">
        <is>
          <t>Paid</t>
        </is>
      </c>
      <c r="H477" s="13" t="n">
        <v>45585</v>
      </c>
    </row>
    <row r="478">
      <c r="A478" t="n">
        <v>6476</v>
      </c>
      <c r="B478" t="inlineStr">
        <is>
          <t>Cust_D</t>
        </is>
      </c>
      <c r="C478" s="13" t="n">
        <v>45609</v>
      </c>
      <c r="D478" s="13" t="n">
        <v>45639</v>
      </c>
      <c r="E478" t="inlineStr">
        <is>
          <t>USD</t>
        </is>
      </c>
      <c r="F478" t="n">
        <v>6256.18</v>
      </c>
      <c r="G478" t="inlineStr">
        <is>
          <t>Overdue</t>
        </is>
      </c>
    </row>
    <row r="479">
      <c r="A479" t="n">
        <v>6477</v>
      </c>
      <c r="B479" t="inlineStr">
        <is>
          <t>Cust_A</t>
        </is>
      </c>
      <c r="C479" s="13" t="n">
        <v>45353</v>
      </c>
      <c r="D479" s="13" t="n">
        <v>45398</v>
      </c>
      <c r="E479" t="inlineStr">
        <is>
          <t>EUR</t>
        </is>
      </c>
      <c r="F479" t="n">
        <v>17113.14</v>
      </c>
      <c r="G479" t="inlineStr">
        <is>
          <t>Overdue</t>
        </is>
      </c>
    </row>
    <row r="480">
      <c r="A480" t="n">
        <v>6478</v>
      </c>
      <c r="B480" t="inlineStr">
        <is>
          <t>Cust_D</t>
        </is>
      </c>
      <c r="C480" s="13" t="n">
        <v>45534</v>
      </c>
      <c r="D480" s="13" t="n">
        <v>45579</v>
      </c>
      <c r="E480" t="inlineStr">
        <is>
          <t>EUR</t>
        </is>
      </c>
      <c r="F480" t="n">
        <v>15946.81</v>
      </c>
      <c r="G480" t="inlineStr">
        <is>
          <t>Overdue</t>
        </is>
      </c>
    </row>
    <row r="481">
      <c r="A481" t="n">
        <v>6479</v>
      </c>
      <c r="B481" t="inlineStr">
        <is>
          <t>Cust_D</t>
        </is>
      </c>
      <c r="C481" s="13" t="n">
        <v>45299</v>
      </c>
      <c r="D481" s="13" t="n">
        <v>45344</v>
      </c>
      <c r="E481" t="inlineStr">
        <is>
          <t>EUR</t>
        </is>
      </c>
      <c r="F481" t="n">
        <v>3566.9</v>
      </c>
      <c r="G481" t="inlineStr">
        <is>
          <t>Paid</t>
        </is>
      </c>
      <c r="H481" s="13" t="n">
        <v>45346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invoice_id</t>
        </is>
      </c>
      <c r="B1" s="6" t="inlineStr">
        <is>
          <t>vendor</t>
        </is>
      </c>
      <c r="C1" s="6" t="inlineStr">
        <is>
          <t>issue_date</t>
        </is>
      </c>
      <c r="D1" s="6" t="inlineStr">
        <is>
          <t>due_date</t>
        </is>
      </c>
      <c r="E1" s="6" t="inlineStr">
        <is>
          <t>currency</t>
        </is>
      </c>
      <c r="F1" s="6" t="inlineStr">
        <is>
          <t>amount</t>
        </is>
      </c>
      <c r="G1" s="6" t="inlineStr">
        <is>
          <t>status</t>
        </is>
      </c>
      <c r="H1" s="6" t="inlineStr">
        <is>
          <t>payment_date</t>
        </is>
      </c>
    </row>
    <row r="2">
      <c r="A2" t="n">
        <v>9000</v>
      </c>
      <c r="B2" t="inlineStr">
        <is>
          <t>Vend_B</t>
        </is>
      </c>
      <c r="C2" s="13" t="n">
        <v>45436</v>
      </c>
      <c r="D2" s="13" t="n">
        <v>45466</v>
      </c>
      <c r="E2" t="inlineStr">
        <is>
          <t>EUR</t>
        </is>
      </c>
      <c r="F2" t="n">
        <v>2944.84</v>
      </c>
      <c r="G2" t="inlineStr">
        <is>
          <t>Paid</t>
        </is>
      </c>
      <c r="H2" s="13" t="n">
        <v>45473</v>
      </c>
    </row>
    <row r="3">
      <c r="A3" t="n">
        <v>9001</v>
      </c>
      <c r="B3" t="inlineStr">
        <is>
          <t>Vend_B</t>
        </is>
      </c>
      <c r="C3" s="13" t="n">
        <v>45463</v>
      </c>
      <c r="D3" s="13" t="n">
        <v>45523</v>
      </c>
      <c r="E3" t="inlineStr">
        <is>
          <t>EUR</t>
        </is>
      </c>
      <c r="F3" t="n">
        <v>14631.95</v>
      </c>
      <c r="G3" t="inlineStr">
        <is>
          <t>Paid</t>
        </is>
      </c>
      <c r="H3" s="13" t="n">
        <v>45545</v>
      </c>
    </row>
    <row r="4">
      <c r="A4" t="n">
        <v>9002</v>
      </c>
      <c r="B4" t="inlineStr">
        <is>
          <t>Vend_C</t>
        </is>
      </c>
      <c r="C4" s="13" t="n">
        <v>45362</v>
      </c>
      <c r="D4" s="13" t="n">
        <v>45392</v>
      </c>
      <c r="E4" t="inlineStr">
        <is>
          <t>EUR</t>
        </is>
      </c>
      <c r="F4" t="n">
        <v>11122.68</v>
      </c>
      <c r="G4" t="inlineStr">
        <is>
          <t>Paid</t>
        </is>
      </c>
      <c r="H4" s="13" t="n">
        <v>45399</v>
      </c>
    </row>
    <row r="5">
      <c r="A5" t="n">
        <v>9003</v>
      </c>
      <c r="B5" t="inlineStr">
        <is>
          <t>Vend_B</t>
        </is>
      </c>
      <c r="C5" s="13" t="n">
        <v>45601</v>
      </c>
      <c r="D5" s="13" t="n">
        <v>45631</v>
      </c>
      <c r="E5" t="inlineStr">
        <is>
          <t>EUR</t>
        </is>
      </c>
      <c r="F5" t="n">
        <v>3362.55</v>
      </c>
      <c r="G5" t="inlineStr">
        <is>
          <t>Paid</t>
        </is>
      </c>
      <c r="H5" s="13" t="n">
        <v>45631</v>
      </c>
    </row>
    <row r="6">
      <c r="A6" t="n">
        <v>9004</v>
      </c>
      <c r="B6" t="inlineStr">
        <is>
          <t>Vend_A</t>
        </is>
      </c>
      <c r="C6" s="13" t="n">
        <v>45376</v>
      </c>
      <c r="D6" s="13" t="n">
        <v>45436</v>
      </c>
      <c r="E6" t="inlineStr">
        <is>
          <t>EUR</t>
        </is>
      </c>
      <c r="F6" t="n">
        <v>10565.33</v>
      </c>
      <c r="G6" t="inlineStr">
        <is>
          <t>Paid</t>
        </is>
      </c>
      <c r="H6" s="13" t="n">
        <v>45459</v>
      </c>
    </row>
    <row r="7">
      <c r="A7" t="n">
        <v>9005</v>
      </c>
      <c r="B7" t="inlineStr">
        <is>
          <t>Vend_B</t>
        </is>
      </c>
      <c r="C7" s="13" t="n">
        <v>45302</v>
      </c>
      <c r="D7" s="13" t="n">
        <v>45332</v>
      </c>
      <c r="E7" t="inlineStr">
        <is>
          <t>EUR</t>
        </is>
      </c>
      <c r="F7" t="n">
        <v>3312.98</v>
      </c>
      <c r="G7" t="inlineStr">
        <is>
          <t>Paid</t>
        </is>
      </c>
      <c r="H7" s="13" t="n">
        <v>45340</v>
      </c>
    </row>
    <row r="8">
      <c r="A8" t="n">
        <v>9006</v>
      </c>
      <c r="B8" t="inlineStr">
        <is>
          <t>Vend_C</t>
        </is>
      </c>
      <c r="C8" s="13" t="n">
        <v>45623</v>
      </c>
      <c r="D8" s="13" t="n">
        <v>45683</v>
      </c>
      <c r="E8" t="inlineStr">
        <is>
          <t>EUR</t>
        </is>
      </c>
      <c r="F8" t="n">
        <v>6650.31</v>
      </c>
      <c r="G8" t="inlineStr">
        <is>
          <t>Paid</t>
        </is>
      </c>
      <c r="H8" s="13" t="n">
        <v>45700</v>
      </c>
    </row>
    <row r="9">
      <c r="A9" t="n">
        <v>9007</v>
      </c>
      <c r="B9" t="inlineStr">
        <is>
          <t>Vend_B</t>
        </is>
      </c>
      <c r="C9" s="13" t="n">
        <v>45638</v>
      </c>
      <c r="D9" s="13" t="n">
        <v>45668</v>
      </c>
      <c r="E9" t="inlineStr">
        <is>
          <t>EUR</t>
        </is>
      </c>
      <c r="F9" t="n">
        <v>13058.48</v>
      </c>
      <c r="G9" t="inlineStr">
        <is>
          <t>Paid</t>
        </is>
      </c>
      <c r="H9" s="13" t="n">
        <v>45681</v>
      </c>
    </row>
    <row r="10">
      <c r="A10" t="n">
        <v>9008</v>
      </c>
      <c r="B10" t="inlineStr">
        <is>
          <t>Vend_C</t>
        </is>
      </c>
      <c r="C10" s="13" t="n">
        <v>45484</v>
      </c>
      <c r="D10" s="13" t="n">
        <v>45544</v>
      </c>
      <c r="E10" t="inlineStr">
        <is>
          <t>EUR</t>
        </is>
      </c>
      <c r="F10" t="n">
        <v>12184.78</v>
      </c>
      <c r="G10" t="inlineStr">
        <is>
          <t>Open</t>
        </is>
      </c>
    </row>
    <row r="11">
      <c r="A11" t="n">
        <v>9009</v>
      </c>
      <c r="B11" t="inlineStr">
        <is>
          <t>Vend_B</t>
        </is>
      </c>
      <c r="C11" s="13" t="n">
        <v>45522</v>
      </c>
      <c r="D11" s="13" t="n">
        <v>45552</v>
      </c>
      <c r="E11" t="inlineStr">
        <is>
          <t>EUR</t>
        </is>
      </c>
      <c r="F11" t="n">
        <v>1893.02</v>
      </c>
      <c r="G11" t="inlineStr">
        <is>
          <t>Paid</t>
        </is>
      </c>
      <c r="H11" s="13" t="n">
        <v>45552</v>
      </c>
    </row>
    <row r="12">
      <c r="A12" t="n">
        <v>9010</v>
      </c>
      <c r="B12" t="inlineStr">
        <is>
          <t>Vend_C</t>
        </is>
      </c>
      <c r="C12" s="13" t="n">
        <v>45524</v>
      </c>
      <c r="D12" s="13" t="n">
        <v>45554</v>
      </c>
      <c r="E12" t="inlineStr">
        <is>
          <t>EUR</t>
        </is>
      </c>
      <c r="F12" t="n">
        <v>4341.62</v>
      </c>
      <c r="G12" t="inlineStr">
        <is>
          <t>Paid</t>
        </is>
      </c>
      <c r="H12" s="13" t="n">
        <v>45572</v>
      </c>
    </row>
    <row r="13">
      <c r="A13" t="n">
        <v>9011</v>
      </c>
      <c r="B13" t="inlineStr">
        <is>
          <t>Vend_C</t>
        </is>
      </c>
      <c r="C13" s="13" t="n">
        <v>45305</v>
      </c>
      <c r="D13" s="13" t="n">
        <v>45335</v>
      </c>
      <c r="E13" t="inlineStr">
        <is>
          <t>EUR</t>
        </is>
      </c>
      <c r="F13" t="n">
        <v>5294.77</v>
      </c>
      <c r="G13" t="inlineStr">
        <is>
          <t>Paid</t>
        </is>
      </c>
      <c r="H13" s="13" t="n">
        <v>45342</v>
      </c>
    </row>
    <row r="14">
      <c r="A14" t="n">
        <v>9012</v>
      </c>
      <c r="B14" t="inlineStr">
        <is>
          <t>Vend_A</t>
        </is>
      </c>
      <c r="C14" s="13" t="n">
        <v>45344</v>
      </c>
      <c r="D14" s="13" t="n">
        <v>45404</v>
      </c>
      <c r="E14" t="inlineStr">
        <is>
          <t>EUR</t>
        </is>
      </c>
      <c r="F14" t="n">
        <v>3792.98</v>
      </c>
      <c r="G14" t="inlineStr">
        <is>
          <t>Paid</t>
        </is>
      </c>
      <c r="H14" s="13" t="n">
        <v>45412</v>
      </c>
    </row>
    <row r="15">
      <c r="A15" t="n">
        <v>9013</v>
      </c>
      <c r="B15" t="inlineStr">
        <is>
          <t>Vend_C</t>
        </is>
      </c>
      <c r="C15" s="13" t="n">
        <v>45545</v>
      </c>
      <c r="D15" s="13" t="n">
        <v>45575</v>
      </c>
      <c r="E15" t="inlineStr">
        <is>
          <t>EUR</t>
        </is>
      </c>
      <c r="F15" t="n">
        <v>9602.51</v>
      </c>
      <c r="G15" t="inlineStr">
        <is>
          <t>Overdue</t>
        </is>
      </c>
    </row>
    <row r="16">
      <c r="A16" t="n">
        <v>9014</v>
      </c>
      <c r="B16" t="inlineStr">
        <is>
          <t>Vend_C</t>
        </is>
      </c>
      <c r="C16" s="13" t="n">
        <v>45347</v>
      </c>
      <c r="D16" s="13" t="n">
        <v>45407</v>
      </c>
      <c r="E16" t="inlineStr">
        <is>
          <t>EUR</t>
        </is>
      </c>
      <c r="F16" t="n">
        <v>6910.56</v>
      </c>
      <c r="G16" t="inlineStr">
        <is>
          <t>Paid</t>
        </is>
      </c>
      <c r="H16" s="13" t="n">
        <v>45414</v>
      </c>
    </row>
    <row r="17">
      <c r="A17" t="n">
        <v>9015</v>
      </c>
      <c r="B17" t="inlineStr">
        <is>
          <t>Vend_C</t>
        </is>
      </c>
      <c r="C17" s="13" t="n">
        <v>45625</v>
      </c>
      <c r="D17" s="13" t="n">
        <v>45655</v>
      </c>
      <c r="E17" t="inlineStr">
        <is>
          <t>EUR</t>
        </is>
      </c>
      <c r="F17" t="n">
        <v>1704.81</v>
      </c>
      <c r="G17" t="inlineStr">
        <is>
          <t>Open</t>
        </is>
      </c>
    </row>
    <row r="18">
      <c r="A18" t="n">
        <v>9016</v>
      </c>
      <c r="B18" t="inlineStr">
        <is>
          <t>Vend_B</t>
        </is>
      </c>
      <c r="C18" s="13" t="n">
        <v>45581</v>
      </c>
      <c r="D18" s="13" t="n">
        <v>45641</v>
      </c>
      <c r="E18" t="inlineStr">
        <is>
          <t>EUR</t>
        </is>
      </c>
      <c r="F18" t="n">
        <v>6019.27</v>
      </c>
      <c r="G18" t="inlineStr">
        <is>
          <t>Paid</t>
        </is>
      </c>
      <c r="H18" s="13" t="n">
        <v>45659</v>
      </c>
    </row>
    <row r="19">
      <c r="A19" t="n">
        <v>9017</v>
      </c>
      <c r="B19" t="inlineStr">
        <is>
          <t>Vend_B</t>
        </is>
      </c>
      <c r="C19" s="13" t="n">
        <v>45573</v>
      </c>
      <c r="D19" s="13" t="n">
        <v>45633</v>
      </c>
      <c r="E19" t="inlineStr">
        <is>
          <t>JPY</t>
        </is>
      </c>
      <c r="F19" t="n">
        <v>964.15</v>
      </c>
      <c r="G19" t="inlineStr">
        <is>
          <t>Paid</t>
        </is>
      </c>
      <c r="H19" s="13" t="n">
        <v>45650</v>
      </c>
    </row>
    <row r="20">
      <c r="A20" t="n">
        <v>9018</v>
      </c>
      <c r="B20" t="inlineStr">
        <is>
          <t>Vend_A</t>
        </is>
      </c>
      <c r="C20" s="13" t="n">
        <v>45616</v>
      </c>
      <c r="D20" s="13" t="n">
        <v>45646</v>
      </c>
      <c r="E20" t="inlineStr">
        <is>
          <t>EUR</t>
        </is>
      </c>
      <c r="F20" t="n">
        <v>3332.95</v>
      </c>
      <c r="G20" t="inlineStr">
        <is>
          <t>Paid</t>
        </is>
      </c>
      <c r="H20" s="13" t="n">
        <v>45656</v>
      </c>
    </row>
    <row r="21">
      <c r="A21" t="n">
        <v>9019</v>
      </c>
      <c r="B21" t="inlineStr">
        <is>
          <t>Vend_B</t>
        </is>
      </c>
      <c r="C21" s="13" t="n">
        <v>45356</v>
      </c>
      <c r="D21" s="13" t="n">
        <v>45386</v>
      </c>
      <c r="E21" t="inlineStr">
        <is>
          <t>EUR</t>
        </is>
      </c>
      <c r="F21" t="n">
        <v>9901.209999999999</v>
      </c>
      <c r="G21" t="inlineStr">
        <is>
          <t>Paid</t>
        </is>
      </c>
      <c r="H21" s="13" t="n">
        <v>45411</v>
      </c>
    </row>
    <row r="22">
      <c r="A22" t="n">
        <v>9020</v>
      </c>
      <c r="B22" t="inlineStr">
        <is>
          <t>Vend_A</t>
        </is>
      </c>
      <c r="C22" s="13" t="n">
        <v>45437</v>
      </c>
      <c r="D22" s="13" t="n">
        <v>45497</v>
      </c>
      <c r="E22" t="inlineStr">
        <is>
          <t>EUR</t>
        </is>
      </c>
      <c r="F22" t="n">
        <v>502.62</v>
      </c>
      <c r="G22" t="inlineStr">
        <is>
          <t>Overdue</t>
        </is>
      </c>
    </row>
    <row r="23">
      <c r="A23" t="n">
        <v>9021</v>
      </c>
      <c r="B23" t="inlineStr">
        <is>
          <t>Vend_A</t>
        </is>
      </c>
      <c r="C23" s="13" t="n">
        <v>45411</v>
      </c>
      <c r="D23" s="13" t="n">
        <v>45441</v>
      </c>
      <c r="E23" t="inlineStr">
        <is>
          <t>EUR</t>
        </is>
      </c>
      <c r="F23" t="n">
        <v>10037.64</v>
      </c>
      <c r="G23" t="inlineStr">
        <is>
          <t>Overdue</t>
        </is>
      </c>
    </row>
    <row r="24">
      <c r="A24" t="n">
        <v>9022</v>
      </c>
      <c r="B24" t="inlineStr">
        <is>
          <t>Vend_A</t>
        </is>
      </c>
      <c r="C24" s="13" t="n">
        <v>45655</v>
      </c>
      <c r="D24" s="13" t="n">
        <v>45715</v>
      </c>
      <c r="E24" t="inlineStr">
        <is>
          <t>EUR</t>
        </is>
      </c>
      <c r="F24" t="n">
        <v>3360.67</v>
      </c>
      <c r="G24" t="inlineStr">
        <is>
          <t>Paid</t>
        </is>
      </c>
      <c r="H24" s="13" t="n">
        <v>45732</v>
      </c>
    </row>
    <row r="25">
      <c r="A25" t="n">
        <v>9023</v>
      </c>
      <c r="B25" t="inlineStr">
        <is>
          <t>Vend_A</t>
        </is>
      </c>
      <c r="C25" s="13" t="n">
        <v>45457</v>
      </c>
      <c r="D25" s="13" t="n">
        <v>45517</v>
      </c>
      <c r="E25" t="inlineStr">
        <is>
          <t>EUR</t>
        </is>
      </c>
      <c r="F25" t="n">
        <v>5808.07</v>
      </c>
      <c r="G25" t="inlineStr">
        <is>
          <t>Open</t>
        </is>
      </c>
    </row>
    <row r="26">
      <c r="A26" t="n">
        <v>9024</v>
      </c>
      <c r="B26" t="inlineStr">
        <is>
          <t>Vend_B</t>
        </is>
      </c>
      <c r="C26" s="13" t="n">
        <v>45318</v>
      </c>
      <c r="D26" s="13" t="n">
        <v>45378</v>
      </c>
      <c r="E26" t="inlineStr">
        <is>
          <t>JPY</t>
        </is>
      </c>
      <c r="F26" t="n">
        <v>5473.64</v>
      </c>
      <c r="G26" t="inlineStr">
        <is>
          <t>Paid</t>
        </is>
      </c>
      <c r="H26" s="13" t="n">
        <v>45392</v>
      </c>
    </row>
    <row r="27">
      <c r="A27" t="n">
        <v>9025</v>
      </c>
      <c r="B27" t="inlineStr">
        <is>
          <t>Vend_A</t>
        </is>
      </c>
      <c r="C27" s="13" t="n">
        <v>45546</v>
      </c>
      <c r="D27" s="13" t="n">
        <v>45576</v>
      </c>
      <c r="E27" t="inlineStr">
        <is>
          <t>EUR</t>
        </is>
      </c>
      <c r="F27" t="n">
        <v>2546.54</v>
      </c>
      <c r="G27" t="inlineStr">
        <is>
          <t>Paid</t>
        </is>
      </c>
      <c r="H27" s="13" t="n">
        <v>45597</v>
      </c>
    </row>
    <row r="28">
      <c r="A28" t="n">
        <v>9026</v>
      </c>
      <c r="B28" t="inlineStr">
        <is>
          <t>Vend_A</t>
        </is>
      </c>
      <c r="C28" s="13" t="n">
        <v>45362</v>
      </c>
      <c r="D28" s="13" t="n">
        <v>45392</v>
      </c>
      <c r="E28" t="inlineStr">
        <is>
          <t>EUR</t>
        </is>
      </c>
      <c r="F28" t="n">
        <v>8126.71</v>
      </c>
      <c r="G28" t="inlineStr">
        <is>
          <t>Paid</t>
        </is>
      </c>
      <c r="H28" s="13" t="n">
        <v>45397</v>
      </c>
    </row>
    <row r="29">
      <c r="A29" t="n">
        <v>9027</v>
      </c>
      <c r="B29" t="inlineStr">
        <is>
          <t>Vend_A</t>
        </is>
      </c>
      <c r="C29" s="13" t="n">
        <v>45313</v>
      </c>
      <c r="D29" s="13" t="n">
        <v>45373</v>
      </c>
      <c r="E29" t="inlineStr">
        <is>
          <t>EUR</t>
        </is>
      </c>
      <c r="F29" t="n">
        <v>4625.59</v>
      </c>
      <c r="G29" t="inlineStr">
        <is>
          <t>Paid</t>
        </is>
      </c>
      <c r="H29" s="13" t="n">
        <v>45397</v>
      </c>
    </row>
    <row r="30">
      <c r="A30" t="n">
        <v>9028</v>
      </c>
      <c r="B30" t="inlineStr">
        <is>
          <t>Vend_A</t>
        </is>
      </c>
      <c r="C30" s="13" t="n">
        <v>45600</v>
      </c>
      <c r="D30" s="13" t="n">
        <v>45630</v>
      </c>
      <c r="E30" t="inlineStr">
        <is>
          <t>EUR</t>
        </is>
      </c>
      <c r="F30" t="n">
        <v>1687.34</v>
      </c>
      <c r="G30" t="inlineStr">
        <is>
          <t>Paid</t>
        </is>
      </c>
      <c r="H30" s="13" t="n">
        <v>45636</v>
      </c>
    </row>
    <row r="31">
      <c r="A31" t="n">
        <v>9029</v>
      </c>
      <c r="B31" t="inlineStr">
        <is>
          <t>Vend_C</t>
        </is>
      </c>
      <c r="C31" s="13" t="n">
        <v>45549</v>
      </c>
      <c r="D31" s="13" t="n">
        <v>45579</v>
      </c>
      <c r="E31" t="inlineStr">
        <is>
          <t>EUR</t>
        </is>
      </c>
      <c r="F31" t="n">
        <v>16188.33</v>
      </c>
      <c r="G31" t="inlineStr">
        <is>
          <t>Paid</t>
        </is>
      </c>
      <c r="H31" s="13" t="n">
        <v>45581</v>
      </c>
    </row>
    <row r="32">
      <c r="A32" t="n">
        <v>9030</v>
      </c>
      <c r="B32" t="inlineStr">
        <is>
          <t>Vend_C</t>
        </is>
      </c>
      <c r="C32" s="13" t="n">
        <v>45540</v>
      </c>
      <c r="D32" s="13" t="n">
        <v>45570</v>
      </c>
      <c r="E32" t="inlineStr">
        <is>
          <t>EUR</t>
        </is>
      </c>
      <c r="F32" t="n">
        <v>3136.16</v>
      </c>
      <c r="G32" t="inlineStr">
        <is>
          <t>Paid</t>
        </is>
      </c>
      <c r="H32" s="13" t="n">
        <v>45572</v>
      </c>
    </row>
    <row r="33">
      <c r="A33" t="n">
        <v>9031</v>
      </c>
      <c r="B33" t="inlineStr">
        <is>
          <t>Vend_A</t>
        </is>
      </c>
      <c r="C33" s="13" t="n">
        <v>45509</v>
      </c>
      <c r="D33" s="13" t="n">
        <v>45569</v>
      </c>
      <c r="E33" t="inlineStr">
        <is>
          <t>EUR</t>
        </is>
      </c>
      <c r="F33" t="n">
        <v>3067.13</v>
      </c>
      <c r="G33" t="inlineStr">
        <is>
          <t>Paid</t>
        </is>
      </c>
      <c r="H33" s="13" t="n">
        <v>45583</v>
      </c>
    </row>
    <row r="34">
      <c r="A34" t="n">
        <v>9032</v>
      </c>
      <c r="B34" t="inlineStr">
        <is>
          <t>Vend_B</t>
        </is>
      </c>
      <c r="C34" s="13" t="n">
        <v>45576</v>
      </c>
      <c r="D34" s="13" t="n">
        <v>45636</v>
      </c>
      <c r="E34" t="inlineStr">
        <is>
          <t>EUR</t>
        </is>
      </c>
      <c r="F34" t="n">
        <v>13636.36</v>
      </c>
      <c r="G34" t="inlineStr">
        <is>
          <t>Paid</t>
        </is>
      </c>
      <c r="H34" s="13" t="n">
        <v>45644</v>
      </c>
    </row>
    <row r="35">
      <c r="A35" t="n">
        <v>9033</v>
      </c>
      <c r="B35" t="inlineStr">
        <is>
          <t>Vend_B</t>
        </is>
      </c>
      <c r="C35" s="13" t="n">
        <v>45591</v>
      </c>
      <c r="D35" s="13" t="n">
        <v>45621</v>
      </c>
      <c r="E35" t="inlineStr">
        <is>
          <t>JPY</t>
        </is>
      </c>
      <c r="F35" t="n">
        <v>4602.73</v>
      </c>
      <c r="G35" t="inlineStr">
        <is>
          <t>Paid</t>
        </is>
      </c>
      <c r="H35" s="13" t="n">
        <v>45626</v>
      </c>
    </row>
    <row r="36">
      <c r="A36" t="n">
        <v>9034</v>
      </c>
      <c r="B36" t="inlineStr">
        <is>
          <t>Vend_B</t>
        </is>
      </c>
      <c r="C36" s="13" t="n">
        <v>45396</v>
      </c>
      <c r="D36" s="13" t="n">
        <v>45456</v>
      </c>
      <c r="E36" t="inlineStr">
        <is>
          <t>EUR</t>
        </is>
      </c>
      <c r="F36" t="n">
        <v>7341.38</v>
      </c>
      <c r="G36" t="inlineStr">
        <is>
          <t>Overdue</t>
        </is>
      </c>
    </row>
    <row r="37">
      <c r="A37" t="n">
        <v>9035</v>
      </c>
      <c r="B37" t="inlineStr">
        <is>
          <t>Vend_B</t>
        </is>
      </c>
      <c r="C37" s="13" t="n">
        <v>45487</v>
      </c>
      <c r="D37" s="13" t="n">
        <v>45547</v>
      </c>
      <c r="E37" t="inlineStr">
        <is>
          <t>EUR</t>
        </is>
      </c>
      <c r="F37" t="n">
        <v>5805.73</v>
      </c>
      <c r="G37" t="inlineStr">
        <is>
          <t>Paid</t>
        </is>
      </c>
      <c r="H37" s="13" t="n">
        <v>45564</v>
      </c>
    </row>
    <row r="38">
      <c r="A38" t="n">
        <v>9036</v>
      </c>
      <c r="B38" t="inlineStr">
        <is>
          <t>Vend_B</t>
        </is>
      </c>
      <c r="C38" s="13" t="n">
        <v>45506</v>
      </c>
      <c r="D38" s="13" t="n">
        <v>45536</v>
      </c>
      <c r="E38" t="inlineStr">
        <is>
          <t>EUR</t>
        </is>
      </c>
      <c r="F38" t="n">
        <v>4703.91</v>
      </c>
      <c r="G38" t="inlineStr">
        <is>
          <t>Paid</t>
        </is>
      </c>
      <c r="H38" s="13" t="n">
        <v>45556</v>
      </c>
    </row>
    <row r="39">
      <c r="A39" t="n">
        <v>9037</v>
      </c>
      <c r="B39" t="inlineStr">
        <is>
          <t>Vend_C</t>
        </is>
      </c>
      <c r="C39" s="13" t="n">
        <v>45463</v>
      </c>
      <c r="D39" s="13" t="n">
        <v>45493</v>
      </c>
      <c r="E39" t="inlineStr">
        <is>
          <t>EUR</t>
        </is>
      </c>
      <c r="F39" t="n">
        <v>10388.64</v>
      </c>
      <c r="G39" t="inlineStr">
        <is>
          <t>Paid</t>
        </is>
      </c>
      <c r="H39" s="13" t="n">
        <v>45506</v>
      </c>
    </row>
    <row r="40">
      <c r="A40" t="n">
        <v>9038</v>
      </c>
      <c r="B40" t="inlineStr">
        <is>
          <t>Vend_C</t>
        </is>
      </c>
      <c r="C40" s="13" t="n">
        <v>45639</v>
      </c>
      <c r="D40" s="13" t="n">
        <v>45669</v>
      </c>
      <c r="E40" t="inlineStr">
        <is>
          <t>EUR</t>
        </is>
      </c>
      <c r="F40" t="n">
        <v>3405.58</v>
      </c>
      <c r="G40" t="inlineStr">
        <is>
          <t>Paid</t>
        </is>
      </c>
      <c r="H40" s="13" t="n">
        <v>45693</v>
      </c>
    </row>
    <row r="41">
      <c r="A41" t="n">
        <v>9039</v>
      </c>
      <c r="B41" t="inlineStr">
        <is>
          <t>Vend_A</t>
        </is>
      </c>
      <c r="C41" s="13" t="n">
        <v>45654</v>
      </c>
      <c r="D41" s="13" t="n">
        <v>45684</v>
      </c>
      <c r="E41" t="inlineStr">
        <is>
          <t>EUR</t>
        </is>
      </c>
      <c r="F41" t="n">
        <v>7933.26</v>
      </c>
      <c r="G41" t="inlineStr">
        <is>
          <t>Paid</t>
        </is>
      </c>
      <c r="H41" s="13" t="n">
        <v>45706</v>
      </c>
    </row>
    <row r="42">
      <c r="A42" t="n">
        <v>9040</v>
      </c>
      <c r="B42" t="inlineStr">
        <is>
          <t>Vend_A</t>
        </is>
      </c>
      <c r="C42" s="13" t="n">
        <v>45352</v>
      </c>
      <c r="D42" s="13" t="n">
        <v>45412</v>
      </c>
      <c r="E42" t="inlineStr">
        <is>
          <t>EUR</t>
        </is>
      </c>
      <c r="F42" t="n">
        <v>8110.71</v>
      </c>
      <c r="G42" t="inlineStr">
        <is>
          <t>Paid</t>
        </is>
      </c>
      <c r="H42" s="13" t="n">
        <v>45425</v>
      </c>
    </row>
    <row r="43">
      <c r="A43" t="n">
        <v>9041</v>
      </c>
      <c r="B43" t="inlineStr">
        <is>
          <t>Vend_B</t>
        </is>
      </c>
      <c r="C43" s="13" t="n">
        <v>45351</v>
      </c>
      <c r="D43" s="13" t="n">
        <v>45381</v>
      </c>
      <c r="E43" t="inlineStr">
        <is>
          <t>EUR</t>
        </is>
      </c>
      <c r="F43" t="n">
        <v>13360.07</v>
      </c>
      <c r="G43" t="inlineStr">
        <is>
          <t>Paid</t>
        </is>
      </c>
      <c r="H43" s="13" t="n">
        <v>45386</v>
      </c>
    </row>
    <row r="44">
      <c r="A44" t="n">
        <v>9042</v>
      </c>
      <c r="B44" t="inlineStr">
        <is>
          <t>Vend_B</t>
        </is>
      </c>
      <c r="C44" s="13" t="n">
        <v>45353</v>
      </c>
      <c r="D44" s="13" t="n">
        <v>45413</v>
      </c>
      <c r="E44" t="inlineStr">
        <is>
          <t>EUR</t>
        </is>
      </c>
      <c r="F44" t="n">
        <v>3433.16</v>
      </c>
      <c r="G44" t="inlineStr">
        <is>
          <t>Paid</t>
        </is>
      </c>
      <c r="H44" s="13" t="n">
        <v>45415</v>
      </c>
    </row>
    <row r="45">
      <c r="A45" t="n">
        <v>9043</v>
      </c>
      <c r="B45" t="inlineStr">
        <is>
          <t>Vend_B</t>
        </is>
      </c>
      <c r="C45" s="13" t="n">
        <v>45440</v>
      </c>
      <c r="D45" s="13" t="n">
        <v>45500</v>
      </c>
      <c r="E45" t="inlineStr">
        <is>
          <t>EUR</t>
        </is>
      </c>
      <c r="F45" t="n">
        <v>2385.42</v>
      </c>
      <c r="G45" t="inlineStr">
        <is>
          <t>Paid</t>
        </is>
      </c>
      <c r="H45" s="13" t="n">
        <v>45506</v>
      </c>
    </row>
    <row r="46">
      <c r="A46" t="n">
        <v>9044</v>
      </c>
      <c r="B46" t="inlineStr">
        <is>
          <t>Vend_C</t>
        </is>
      </c>
      <c r="C46" s="13" t="n">
        <v>45473</v>
      </c>
      <c r="D46" s="13" t="n">
        <v>45503</v>
      </c>
      <c r="E46" t="inlineStr">
        <is>
          <t>EUR</t>
        </is>
      </c>
      <c r="F46" t="n">
        <v>3590.86</v>
      </c>
      <c r="G46" t="inlineStr">
        <is>
          <t>Paid</t>
        </is>
      </c>
      <c r="H46" s="13" t="n">
        <v>45520</v>
      </c>
    </row>
    <row r="47">
      <c r="A47" t="n">
        <v>9045</v>
      </c>
      <c r="B47" t="inlineStr">
        <is>
          <t>Vend_C</t>
        </is>
      </c>
      <c r="C47" s="13" t="n">
        <v>45351</v>
      </c>
      <c r="D47" s="13" t="n">
        <v>45411</v>
      </c>
      <c r="E47" t="inlineStr">
        <is>
          <t>EUR</t>
        </is>
      </c>
      <c r="F47" t="n">
        <v>3051.87</v>
      </c>
      <c r="G47" t="inlineStr">
        <is>
          <t>Open</t>
        </is>
      </c>
    </row>
    <row r="48">
      <c r="A48" t="n">
        <v>9046</v>
      </c>
      <c r="B48" t="inlineStr">
        <is>
          <t>Vend_C</t>
        </is>
      </c>
      <c r="C48" s="13" t="n">
        <v>45617</v>
      </c>
      <c r="D48" s="13" t="n">
        <v>45647</v>
      </c>
      <c r="E48" t="inlineStr">
        <is>
          <t>EUR</t>
        </is>
      </c>
      <c r="F48" t="n">
        <v>9900.75</v>
      </c>
      <c r="G48" t="inlineStr">
        <is>
          <t>Overdue</t>
        </is>
      </c>
    </row>
    <row r="49">
      <c r="A49" t="n">
        <v>9047</v>
      </c>
      <c r="B49" t="inlineStr">
        <is>
          <t>Vend_C</t>
        </is>
      </c>
      <c r="C49" s="13" t="n">
        <v>45609</v>
      </c>
      <c r="D49" s="13" t="n">
        <v>45669</v>
      </c>
      <c r="E49" t="inlineStr">
        <is>
          <t>EUR</t>
        </is>
      </c>
      <c r="F49" t="n">
        <v>1521.91</v>
      </c>
      <c r="G49" t="inlineStr">
        <is>
          <t>Paid</t>
        </is>
      </c>
      <c r="H49" s="13" t="n">
        <v>45687</v>
      </c>
    </row>
    <row r="50">
      <c r="A50" t="n">
        <v>9048</v>
      </c>
      <c r="B50" t="inlineStr">
        <is>
          <t>Vend_B</t>
        </is>
      </c>
      <c r="C50" s="13" t="n">
        <v>45588</v>
      </c>
      <c r="D50" s="13" t="n">
        <v>45648</v>
      </c>
      <c r="E50" t="inlineStr">
        <is>
          <t>JPY</t>
        </is>
      </c>
      <c r="F50" t="n">
        <v>11606.28</v>
      </c>
      <c r="G50" t="inlineStr">
        <is>
          <t>Paid</t>
        </is>
      </c>
      <c r="H50" s="13" t="n">
        <v>45663</v>
      </c>
    </row>
    <row r="51">
      <c r="A51" t="n">
        <v>9049</v>
      </c>
      <c r="B51" t="inlineStr">
        <is>
          <t>Vend_C</t>
        </is>
      </c>
      <c r="C51" s="13" t="n">
        <v>45293</v>
      </c>
      <c r="D51" s="13" t="n">
        <v>45353</v>
      </c>
      <c r="E51" t="inlineStr">
        <is>
          <t>EUR</t>
        </is>
      </c>
      <c r="F51" t="n">
        <v>5283.56</v>
      </c>
      <c r="G51" t="inlineStr">
        <is>
          <t>Paid</t>
        </is>
      </c>
      <c r="H51" s="13" t="n">
        <v>45378</v>
      </c>
    </row>
    <row r="52">
      <c r="A52" t="n">
        <v>9050</v>
      </c>
      <c r="B52" t="inlineStr">
        <is>
          <t>Vend_B</t>
        </is>
      </c>
      <c r="C52" s="13" t="n">
        <v>45519</v>
      </c>
      <c r="D52" s="13" t="n">
        <v>45549</v>
      </c>
      <c r="E52" t="inlineStr">
        <is>
          <t>EUR</t>
        </is>
      </c>
      <c r="F52" t="n">
        <v>16242.55</v>
      </c>
      <c r="G52" t="inlineStr">
        <is>
          <t>Paid</t>
        </is>
      </c>
      <c r="H52" s="13" t="n">
        <v>45564</v>
      </c>
    </row>
    <row r="53">
      <c r="A53" t="n">
        <v>9051</v>
      </c>
      <c r="B53" t="inlineStr">
        <is>
          <t>Vend_A</t>
        </is>
      </c>
      <c r="C53" s="13" t="n">
        <v>45322</v>
      </c>
      <c r="D53" s="13" t="n">
        <v>45352</v>
      </c>
      <c r="E53" t="inlineStr">
        <is>
          <t>EUR</t>
        </is>
      </c>
      <c r="F53" t="n">
        <v>12005.27</v>
      </c>
      <c r="G53" t="inlineStr">
        <is>
          <t>Paid</t>
        </is>
      </c>
      <c r="H53" s="13" t="n">
        <v>45367</v>
      </c>
    </row>
    <row r="54">
      <c r="A54" t="n">
        <v>9052</v>
      </c>
      <c r="B54" t="inlineStr">
        <is>
          <t>Vend_C</t>
        </is>
      </c>
      <c r="C54" s="13" t="n">
        <v>45309</v>
      </c>
      <c r="D54" s="13" t="n">
        <v>45369</v>
      </c>
      <c r="E54" t="inlineStr">
        <is>
          <t>EUR</t>
        </is>
      </c>
      <c r="F54" t="n">
        <v>4689.79</v>
      </c>
      <c r="G54" t="inlineStr">
        <is>
          <t>Paid</t>
        </is>
      </c>
      <c r="H54" s="13" t="n">
        <v>45394</v>
      </c>
    </row>
    <row r="55">
      <c r="A55" t="n">
        <v>9053</v>
      </c>
      <c r="B55" t="inlineStr">
        <is>
          <t>Vend_A</t>
        </is>
      </c>
      <c r="C55" s="13" t="n">
        <v>45434</v>
      </c>
      <c r="D55" s="13" t="n">
        <v>45464</v>
      </c>
      <c r="E55" t="inlineStr">
        <is>
          <t>EUR</t>
        </is>
      </c>
      <c r="F55" t="n">
        <v>6150.07</v>
      </c>
      <c r="G55" t="inlineStr">
        <is>
          <t>Paid</t>
        </is>
      </c>
      <c r="H55" s="13" t="n">
        <v>45488</v>
      </c>
    </row>
    <row r="56">
      <c r="A56" t="n">
        <v>9054</v>
      </c>
      <c r="B56" t="inlineStr">
        <is>
          <t>Vend_A</t>
        </is>
      </c>
      <c r="C56" s="13" t="n">
        <v>45486</v>
      </c>
      <c r="D56" s="13" t="n">
        <v>45546</v>
      </c>
      <c r="E56" t="inlineStr">
        <is>
          <t>EUR</t>
        </is>
      </c>
      <c r="F56" t="n">
        <v>10633.04</v>
      </c>
      <c r="G56" t="inlineStr">
        <is>
          <t>Paid</t>
        </is>
      </c>
      <c r="H56" s="13" t="n">
        <v>45552</v>
      </c>
    </row>
    <row r="57">
      <c r="A57" t="n">
        <v>9055</v>
      </c>
      <c r="B57" t="inlineStr">
        <is>
          <t>Vend_C</t>
        </is>
      </c>
      <c r="C57" s="13" t="n">
        <v>45552</v>
      </c>
      <c r="D57" s="13" t="n">
        <v>45612</v>
      </c>
      <c r="E57" t="inlineStr">
        <is>
          <t>EUR</t>
        </is>
      </c>
      <c r="F57" t="n">
        <v>3577.94</v>
      </c>
      <c r="G57" t="inlineStr">
        <is>
          <t>Paid</t>
        </is>
      </c>
      <c r="H57" s="13" t="n">
        <v>45614</v>
      </c>
    </row>
    <row r="58">
      <c r="A58" t="n">
        <v>9056</v>
      </c>
      <c r="B58" t="inlineStr">
        <is>
          <t>Vend_C</t>
        </is>
      </c>
      <c r="C58" s="13" t="n">
        <v>45489</v>
      </c>
      <c r="D58" s="13" t="n">
        <v>45549</v>
      </c>
      <c r="E58" t="inlineStr">
        <is>
          <t>EUR</t>
        </is>
      </c>
      <c r="F58" t="n">
        <v>16985.89</v>
      </c>
      <c r="G58" t="inlineStr">
        <is>
          <t>Open</t>
        </is>
      </c>
    </row>
    <row r="59">
      <c r="A59" t="n">
        <v>9057</v>
      </c>
      <c r="B59" t="inlineStr">
        <is>
          <t>Vend_C</t>
        </is>
      </c>
      <c r="C59" s="13" t="n">
        <v>45449</v>
      </c>
      <c r="D59" s="13" t="n">
        <v>45509</v>
      </c>
      <c r="E59" t="inlineStr">
        <is>
          <t>EUR</t>
        </is>
      </c>
      <c r="F59" t="n">
        <v>6970.1</v>
      </c>
      <c r="G59" t="inlineStr">
        <is>
          <t>Paid</t>
        </is>
      </c>
      <c r="H59" s="13" t="n">
        <v>45510</v>
      </c>
    </row>
    <row r="60">
      <c r="A60" t="n">
        <v>9058</v>
      </c>
      <c r="B60" t="inlineStr">
        <is>
          <t>Vend_C</t>
        </is>
      </c>
      <c r="C60" s="13" t="n">
        <v>45477</v>
      </c>
      <c r="D60" s="13" t="n">
        <v>45537</v>
      </c>
      <c r="E60" t="inlineStr">
        <is>
          <t>EUR</t>
        </is>
      </c>
      <c r="F60" t="n">
        <v>3736.86</v>
      </c>
      <c r="G60" t="inlineStr">
        <is>
          <t>Overdue</t>
        </is>
      </c>
    </row>
    <row r="61">
      <c r="A61" t="n">
        <v>9059</v>
      </c>
      <c r="B61" t="inlineStr">
        <is>
          <t>Vend_C</t>
        </is>
      </c>
      <c r="C61" s="13" t="n">
        <v>45603</v>
      </c>
      <c r="D61" s="13" t="n">
        <v>45663</v>
      </c>
      <c r="E61" t="inlineStr">
        <is>
          <t>EUR</t>
        </is>
      </c>
      <c r="F61" t="n">
        <v>3973.79</v>
      </c>
      <c r="G61" t="inlineStr">
        <is>
          <t>Paid</t>
        </is>
      </c>
      <c r="H61" s="13" t="n">
        <v>45665</v>
      </c>
    </row>
    <row r="62">
      <c r="A62" t="n">
        <v>9060</v>
      </c>
      <c r="B62" t="inlineStr">
        <is>
          <t>Vend_A</t>
        </is>
      </c>
      <c r="C62" s="13" t="n">
        <v>45418</v>
      </c>
      <c r="D62" s="13" t="n">
        <v>45448</v>
      </c>
      <c r="E62" t="inlineStr">
        <is>
          <t>EUR</t>
        </is>
      </c>
      <c r="F62" t="n">
        <v>1747.07</v>
      </c>
      <c r="G62" t="inlineStr">
        <is>
          <t>Paid</t>
        </is>
      </c>
      <c r="H62" s="13" t="n">
        <v>45461</v>
      </c>
    </row>
    <row r="63">
      <c r="A63" t="n">
        <v>9061</v>
      </c>
      <c r="B63" t="inlineStr">
        <is>
          <t>Vend_A</t>
        </is>
      </c>
      <c r="C63" s="13" t="n">
        <v>45317</v>
      </c>
      <c r="D63" s="13" t="n">
        <v>45347</v>
      </c>
      <c r="E63" t="inlineStr">
        <is>
          <t>EUR</t>
        </is>
      </c>
      <c r="F63" t="n">
        <v>10301.92</v>
      </c>
      <c r="G63" t="inlineStr">
        <is>
          <t>Open</t>
        </is>
      </c>
    </row>
    <row r="64">
      <c r="A64" t="n">
        <v>9062</v>
      </c>
      <c r="B64" t="inlineStr">
        <is>
          <t>Vend_A</t>
        </is>
      </c>
      <c r="C64" s="13" t="n">
        <v>45563</v>
      </c>
      <c r="D64" s="13" t="n">
        <v>45593</v>
      </c>
      <c r="E64" t="inlineStr">
        <is>
          <t>EUR</t>
        </is>
      </c>
      <c r="F64" t="n">
        <v>979.03</v>
      </c>
      <c r="G64" t="inlineStr">
        <is>
          <t>Paid</t>
        </is>
      </c>
      <c r="H64" s="13" t="n">
        <v>45602</v>
      </c>
    </row>
    <row r="65">
      <c r="A65" t="n">
        <v>9063</v>
      </c>
      <c r="B65" t="inlineStr">
        <is>
          <t>Vend_C</t>
        </is>
      </c>
      <c r="C65" s="13" t="n">
        <v>45464</v>
      </c>
      <c r="D65" s="13" t="n">
        <v>45524</v>
      </c>
      <c r="E65" t="inlineStr">
        <is>
          <t>EUR</t>
        </is>
      </c>
      <c r="F65" t="n">
        <v>5139.08</v>
      </c>
      <c r="G65" t="inlineStr">
        <is>
          <t>Paid</t>
        </is>
      </c>
      <c r="H65" s="13" t="n">
        <v>45541</v>
      </c>
    </row>
    <row r="66">
      <c r="A66" t="n">
        <v>9064</v>
      </c>
      <c r="B66" t="inlineStr">
        <is>
          <t>Vend_C</t>
        </is>
      </c>
      <c r="C66" s="13" t="n">
        <v>45414</v>
      </c>
      <c r="D66" s="13" t="n">
        <v>45474</v>
      </c>
      <c r="E66" t="inlineStr">
        <is>
          <t>EUR</t>
        </is>
      </c>
      <c r="F66" t="n">
        <v>9893.49</v>
      </c>
      <c r="G66" t="inlineStr">
        <is>
          <t>Paid</t>
        </is>
      </c>
      <c r="H66" s="13" t="n">
        <v>45499</v>
      </c>
    </row>
    <row r="67">
      <c r="A67" t="n">
        <v>9065</v>
      </c>
      <c r="B67" t="inlineStr">
        <is>
          <t>Vend_A</t>
        </is>
      </c>
      <c r="C67" s="13" t="n">
        <v>45585</v>
      </c>
      <c r="D67" s="13" t="n">
        <v>45615</v>
      </c>
      <c r="E67" t="inlineStr">
        <is>
          <t>EUR</t>
        </is>
      </c>
      <c r="F67" t="n">
        <v>4467.06</v>
      </c>
      <c r="G67" t="inlineStr">
        <is>
          <t>Paid</t>
        </is>
      </c>
      <c r="H67" s="13" t="n">
        <v>45639</v>
      </c>
    </row>
    <row r="68">
      <c r="A68" t="n">
        <v>9066</v>
      </c>
      <c r="B68" t="inlineStr">
        <is>
          <t>Vend_B</t>
        </is>
      </c>
      <c r="C68" s="13" t="n">
        <v>45516</v>
      </c>
      <c r="D68" s="13" t="n">
        <v>45546</v>
      </c>
      <c r="E68" t="inlineStr">
        <is>
          <t>EUR</t>
        </is>
      </c>
      <c r="F68" t="n">
        <v>10043.05</v>
      </c>
      <c r="G68" t="inlineStr">
        <is>
          <t>Paid</t>
        </is>
      </c>
      <c r="H68" s="13" t="n">
        <v>45548</v>
      </c>
    </row>
    <row r="69">
      <c r="A69" t="n">
        <v>9067</v>
      </c>
      <c r="B69" t="inlineStr">
        <is>
          <t>Vend_C</t>
        </is>
      </c>
      <c r="C69" s="13" t="n">
        <v>45294</v>
      </c>
      <c r="D69" s="13" t="n">
        <v>45354</v>
      </c>
      <c r="E69" t="inlineStr">
        <is>
          <t>EUR</t>
        </is>
      </c>
      <c r="F69" t="n">
        <v>805.64</v>
      </c>
      <c r="G69" t="inlineStr">
        <is>
          <t>Paid</t>
        </is>
      </c>
      <c r="H69" s="13" t="n">
        <v>45354</v>
      </c>
    </row>
    <row r="70">
      <c r="A70" t="n">
        <v>9068</v>
      </c>
      <c r="B70" t="inlineStr">
        <is>
          <t>Vend_B</t>
        </is>
      </c>
      <c r="C70" s="13" t="n">
        <v>45544</v>
      </c>
      <c r="D70" s="13" t="n">
        <v>45604</v>
      </c>
      <c r="E70" t="inlineStr">
        <is>
          <t>EUR</t>
        </is>
      </c>
      <c r="F70" t="n">
        <v>17878.3</v>
      </c>
      <c r="G70" t="inlineStr">
        <is>
          <t>Paid</t>
        </is>
      </c>
      <c r="H70" s="13" t="n">
        <v>45604</v>
      </c>
    </row>
    <row r="71">
      <c r="A71" t="n">
        <v>9069</v>
      </c>
      <c r="B71" t="inlineStr">
        <is>
          <t>Vend_B</t>
        </is>
      </c>
      <c r="C71" s="13" t="n">
        <v>45467</v>
      </c>
      <c r="D71" s="13" t="n">
        <v>45497</v>
      </c>
      <c r="E71" t="inlineStr">
        <is>
          <t>EUR</t>
        </is>
      </c>
      <c r="F71" t="n">
        <v>2675.91</v>
      </c>
      <c r="G71" t="inlineStr">
        <is>
          <t>Open</t>
        </is>
      </c>
    </row>
    <row r="72">
      <c r="A72" t="n">
        <v>9070</v>
      </c>
      <c r="B72" t="inlineStr">
        <is>
          <t>Vend_C</t>
        </is>
      </c>
      <c r="C72" s="13" t="n">
        <v>45297</v>
      </c>
      <c r="D72" s="13" t="n">
        <v>45357</v>
      </c>
      <c r="E72" t="inlineStr">
        <is>
          <t>EUR</t>
        </is>
      </c>
      <c r="F72" t="n">
        <v>3183.3</v>
      </c>
      <c r="G72" t="inlineStr">
        <is>
          <t>Paid</t>
        </is>
      </c>
      <c r="H72" s="13" t="n">
        <v>45365</v>
      </c>
    </row>
    <row r="73">
      <c r="A73" t="n">
        <v>9071</v>
      </c>
      <c r="B73" t="inlineStr">
        <is>
          <t>Vend_B</t>
        </is>
      </c>
      <c r="C73" s="13" t="n">
        <v>45325</v>
      </c>
      <c r="D73" s="13" t="n">
        <v>45355</v>
      </c>
      <c r="E73" t="inlineStr">
        <is>
          <t>EUR</t>
        </is>
      </c>
      <c r="F73" t="n">
        <v>13294.11</v>
      </c>
      <c r="G73" t="inlineStr">
        <is>
          <t>Paid</t>
        </is>
      </c>
      <c r="H73" s="13" t="n">
        <v>45372</v>
      </c>
    </row>
    <row r="74">
      <c r="A74" t="n">
        <v>9072</v>
      </c>
      <c r="B74" t="inlineStr">
        <is>
          <t>Vend_A</t>
        </is>
      </c>
      <c r="C74" s="13" t="n">
        <v>45593</v>
      </c>
      <c r="D74" s="13" t="n">
        <v>45623</v>
      </c>
      <c r="E74" t="inlineStr">
        <is>
          <t>EUR</t>
        </is>
      </c>
      <c r="F74" t="n">
        <v>3606.94</v>
      </c>
      <c r="G74" t="inlineStr">
        <is>
          <t>Paid</t>
        </is>
      </c>
      <c r="H74" s="13" t="n">
        <v>45629</v>
      </c>
    </row>
    <row r="75">
      <c r="A75" t="n">
        <v>9073</v>
      </c>
      <c r="B75" t="inlineStr">
        <is>
          <t>Vend_A</t>
        </is>
      </c>
      <c r="C75" s="13" t="n">
        <v>45441</v>
      </c>
      <c r="D75" s="13" t="n">
        <v>45471</v>
      </c>
      <c r="E75" t="inlineStr">
        <is>
          <t>USD</t>
        </is>
      </c>
      <c r="F75" t="n">
        <v>6417.28</v>
      </c>
      <c r="G75" t="inlineStr">
        <is>
          <t>Paid</t>
        </is>
      </c>
      <c r="H75" s="13" t="n">
        <v>45492</v>
      </c>
    </row>
    <row r="76">
      <c r="A76" t="n">
        <v>9074</v>
      </c>
      <c r="B76" t="inlineStr">
        <is>
          <t>Vend_A</t>
        </is>
      </c>
      <c r="C76" s="13" t="n">
        <v>45568</v>
      </c>
      <c r="D76" s="13" t="n">
        <v>45628</v>
      </c>
      <c r="E76" t="inlineStr">
        <is>
          <t>EUR</t>
        </is>
      </c>
      <c r="F76" t="n">
        <v>6049.55</v>
      </c>
      <c r="G76" t="inlineStr">
        <is>
          <t>Paid</t>
        </is>
      </c>
      <c r="H76" s="13" t="n">
        <v>45631</v>
      </c>
    </row>
    <row r="77">
      <c r="A77" t="n">
        <v>9075</v>
      </c>
      <c r="B77" t="inlineStr">
        <is>
          <t>Vend_C</t>
        </is>
      </c>
      <c r="C77" s="13" t="n">
        <v>45598</v>
      </c>
      <c r="D77" s="13" t="n">
        <v>45628</v>
      </c>
      <c r="E77" t="inlineStr">
        <is>
          <t>USD</t>
        </is>
      </c>
      <c r="F77" t="n">
        <v>1146.99</v>
      </c>
      <c r="G77" t="inlineStr">
        <is>
          <t>Paid</t>
        </is>
      </c>
      <c r="H77" s="13" t="n">
        <v>45642</v>
      </c>
    </row>
    <row r="78">
      <c r="A78" t="n">
        <v>9076</v>
      </c>
      <c r="B78" t="inlineStr">
        <is>
          <t>Vend_C</t>
        </is>
      </c>
      <c r="C78" s="13" t="n">
        <v>45563</v>
      </c>
      <c r="D78" s="13" t="n">
        <v>45593</v>
      </c>
      <c r="E78" t="inlineStr">
        <is>
          <t>USD</t>
        </is>
      </c>
      <c r="F78" t="n">
        <v>5429.1</v>
      </c>
      <c r="G78" t="inlineStr">
        <is>
          <t>Paid</t>
        </is>
      </c>
      <c r="H78" s="13" t="n">
        <v>45607</v>
      </c>
    </row>
    <row r="79">
      <c r="A79" t="n">
        <v>9077</v>
      </c>
      <c r="B79" t="inlineStr">
        <is>
          <t>Vend_A</t>
        </is>
      </c>
      <c r="C79" s="13" t="n">
        <v>45325</v>
      </c>
      <c r="D79" s="13" t="n">
        <v>45355</v>
      </c>
      <c r="E79" t="inlineStr">
        <is>
          <t>EUR</t>
        </is>
      </c>
      <c r="F79" t="n">
        <v>8081.5</v>
      </c>
      <c r="G79" t="inlineStr">
        <is>
          <t>Paid</t>
        </is>
      </c>
      <c r="H79" s="13" t="n">
        <v>45372</v>
      </c>
    </row>
    <row r="80">
      <c r="A80" t="n">
        <v>9078</v>
      </c>
      <c r="B80" t="inlineStr">
        <is>
          <t>Vend_C</t>
        </is>
      </c>
      <c r="C80" s="13" t="n">
        <v>45357</v>
      </c>
      <c r="D80" s="13" t="n">
        <v>45417</v>
      </c>
      <c r="E80" t="inlineStr">
        <is>
          <t>EUR</t>
        </is>
      </c>
      <c r="F80" t="n">
        <v>5987.87</v>
      </c>
      <c r="G80" t="inlineStr">
        <is>
          <t>Paid</t>
        </is>
      </c>
      <c r="H80" s="13" t="n">
        <v>45426</v>
      </c>
    </row>
    <row r="81">
      <c r="A81" t="n">
        <v>9079</v>
      </c>
      <c r="B81" t="inlineStr">
        <is>
          <t>Vend_C</t>
        </is>
      </c>
      <c r="C81" s="13" t="n">
        <v>45464</v>
      </c>
      <c r="D81" s="13" t="n">
        <v>45524</v>
      </c>
      <c r="E81" t="inlineStr">
        <is>
          <t>EUR</t>
        </is>
      </c>
      <c r="F81" t="n">
        <v>8362.15</v>
      </c>
      <c r="G81" t="inlineStr">
        <is>
          <t>Open</t>
        </is>
      </c>
    </row>
    <row r="82">
      <c r="A82" t="n">
        <v>9080</v>
      </c>
      <c r="B82" t="inlineStr">
        <is>
          <t>Vend_C</t>
        </is>
      </c>
      <c r="C82" s="13" t="n">
        <v>45354</v>
      </c>
      <c r="D82" s="13" t="n">
        <v>45414</v>
      </c>
      <c r="E82" t="inlineStr">
        <is>
          <t>JPY</t>
        </is>
      </c>
      <c r="F82" t="n">
        <v>1362.49</v>
      </c>
      <c r="G82" t="inlineStr">
        <is>
          <t>Paid</t>
        </is>
      </c>
      <c r="H82" s="13" t="n">
        <v>45436</v>
      </c>
    </row>
    <row r="83">
      <c r="A83" t="n">
        <v>9081</v>
      </c>
      <c r="B83" t="inlineStr">
        <is>
          <t>Vend_B</t>
        </is>
      </c>
      <c r="C83" s="13" t="n">
        <v>45534</v>
      </c>
      <c r="D83" s="13" t="n">
        <v>45564</v>
      </c>
      <c r="E83" t="inlineStr">
        <is>
          <t>EUR</t>
        </is>
      </c>
      <c r="F83" t="n">
        <v>5958.19</v>
      </c>
      <c r="G83" t="inlineStr">
        <is>
          <t>Paid</t>
        </is>
      </c>
      <c r="H83" s="13" t="n">
        <v>45579</v>
      </c>
    </row>
    <row r="84">
      <c r="A84" t="n">
        <v>9082</v>
      </c>
      <c r="B84" t="inlineStr">
        <is>
          <t>Vend_A</t>
        </is>
      </c>
      <c r="C84" s="13" t="n">
        <v>45546</v>
      </c>
      <c r="D84" s="13" t="n">
        <v>45576</v>
      </c>
      <c r="E84" t="inlineStr">
        <is>
          <t>EUR</t>
        </is>
      </c>
      <c r="F84" t="n">
        <v>12877.14</v>
      </c>
      <c r="G84" t="inlineStr">
        <is>
          <t>Paid</t>
        </is>
      </c>
      <c r="H84" s="13" t="n">
        <v>45586</v>
      </c>
    </row>
    <row r="85">
      <c r="A85" t="n">
        <v>9083</v>
      </c>
      <c r="B85" t="inlineStr">
        <is>
          <t>Vend_A</t>
        </is>
      </c>
      <c r="C85" s="13" t="n">
        <v>45519</v>
      </c>
      <c r="D85" s="13" t="n">
        <v>45549</v>
      </c>
      <c r="E85" t="inlineStr">
        <is>
          <t>EUR</t>
        </is>
      </c>
      <c r="F85" t="n">
        <v>7999.48</v>
      </c>
      <c r="G85" t="inlineStr">
        <is>
          <t>Paid</t>
        </is>
      </c>
      <c r="H85" s="13" t="n">
        <v>45554</v>
      </c>
    </row>
    <row r="86">
      <c r="A86" t="n">
        <v>9084</v>
      </c>
      <c r="B86" t="inlineStr">
        <is>
          <t>Vend_A</t>
        </is>
      </c>
      <c r="C86" s="13" t="n">
        <v>45611</v>
      </c>
      <c r="D86" s="13" t="n">
        <v>45671</v>
      </c>
      <c r="E86" t="inlineStr">
        <is>
          <t>EUR</t>
        </is>
      </c>
      <c r="F86" t="n">
        <v>2877.05</v>
      </c>
      <c r="G86" t="inlineStr">
        <is>
          <t>Paid</t>
        </is>
      </c>
      <c r="H86" s="13" t="n">
        <v>45679</v>
      </c>
    </row>
    <row r="87">
      <c r="A87" t="n">
        <v>9085</v>
      </c>
      <c r="B87" t="inlineStr">
        <is>
          <t>Vend_C</t>
        </is>
      </c>
      <c r="C87" s="13" t="n">
        <v>45425</v>
      </c>
      <c r="D87" s="13" t="n">
        <v>45485</v>
      </c>
      <c r="E87" t="inlineStr">
        <is>
          <t>EUR</t>
        </is>
      </c>
      <c r="F87" t="n">
        <v>5127.88</v>
      </c>
      <c r="G87" t="inlineStr">
        <is>
          <t>Paid</t>
        </is>
      </c>
      <c r="H87" s="13" t="n">
        <v>45486</v>
      </c>
    </row>
    <row r="88">
      <c r="A88" t="n">
        <v>9086</v>
      </c>
      <c r="B88" t="inlineStr">
        <is>
          <t>Vend_B</t>
        </is>
      </c>
      <c r="C88" s="13" t="n">
        <v>45521</v>
      </c>
      <c r="D88" s="13" t="n">
        <v>45551</v>
      </c>
      <c r="E88" t="inlineStr">
        <is>
          <t>EUR</t>
        </is>
      </c>
      <c r="F88" t="n">
        <v>3786.83</v>
      </c>
      <c r="G88" t="inlineStr">
        <is>
          <t>Open</t>
        </is>
      </c>
    </row>
    <row r="89">
      <c r="A89" t="n">
        <v>9087</v>
      </c>
      <c r="B89" t="inlineStr">
        <is>
          <t>Vend_A</t>
        </is>
      </c>
      <c r="C89" s="13" t="n">
        <v>45433</v>
      </c>
      <c r="D89" s="13" t="n">
        <v>45493</v>
      </c>
      <c r="E89" t="inlineStr">
        <is>
          <t>EUR</t>
        </is>
      </c>
      <c r="F89" t="n">
        <v>860.9400000000001</v>
      </c>
      <c r="G89" t="inlineStr">
        <is>
          <t>Paid</t>
        </is>
      </c>
      <c r="H89" s="13" t="n">
        <v>45506</v>
      </c>
    </row>
    <row r="90">
      <c r="A90" t="n">
        <v>9088</v>
      </c>
      <c r="B90" t="inlineStr">
        <is>
          <t>Vend_C</t>
        </is>
      </c>
      <c r="C90" s="13" t="n">
        <v>45447</v>
      </c>
      <c r="D90" s="13" t="n">
        <v>45507</v>
      </c>
      <c r="E90" t="inlineStr">
        <is>
          <t>EUR</t>
        </is>
      </c>
      <c r="F90" t="n">
        <v>5309.67</v>
      </c>
      <c r="G90" t="inlineStr">
        <is>
          <t>Paid</t>
        </is>
      </c>
      <c r="H90" s="13" t="n">
        <v>45522</v>
      </c>
    </row>
    <row r="91">
      <c r="A91" t="n">
        <v>9089</v>
      </c>
      <c r="B91" t="inlineStr">
        <is>
          <t>Vend_C</t>
        </is>
      </c>
      <c r="C91" s="13" t="n">
        <v>45588</v>
      </c>
      <c r="D91" s="13" t="n">
        <v>45618</v>
      </c>
      <c r="E91" t="inlineStr">
        <is>
          <t>EUR</t>
        </is>
      </c>
      <c r="F91" t="n">
        <v>2070.54</v>
      </c>
      <c r="G91" t="inlineStr">
        <is>
          <t>Paid</t>
        </is>
      </c>
      <c r="H91" s="13" t="n">
        <v>45627</v>
      </c>
    </row>
    <row r="92">
      <c r="A92" t="n">
        <v>9090</v>
      </c>
      <c r="B92" t="inlineStr">
        <is>
          <t>Vend_A</t>
        </is>
      </c>
      <c r="C92" s="13" t="n">
        <v>45387</v>
      </c>
      <c r="D92" s="13" t="n">
        <v>45447</v>
      </c>
      <c r="E92" t="inlineStr">
        <is>
          <t>EUR</t>
        </is>
      </c>
      <c r="F92" t="n">
        <v>2797.67</v>
      </c>
      <c r="G92" t="inlineStr">
        <is>
          <t>Paid</t>
        </is>
      </c>
      <c r="H92" s="13" t="n">
        <v>45457</v>
      </c>
    </row>
    <row r="93">
      <c r="A93" t="n">
        <v>9091</v>
      </c>
      <c r="B93" t="inlineStr">
        <is>
          <t>Vend_A</t>
        </is>
      </c>
      <c r="C93" s="13" t="n">
        <v>45360</v>
      </c>
      <c r="D93" s="13" t="n">
        <v>45420</v>
      </c>
      <c r="E93" t="inlineStr">
        <is>
          <t>EUR</t>
        </is>
      </c>
      <c r="F93" t="n">
        <v>1717.43</v>
      </c>
      <c r="G93" t="inlineStr">
        <is>
          <t>Overdue</t>
        </is>
      </c>
    </row>
    <row r="94">
      <c r="A94" t="n">
        <v>9092</v>
      </c>
      <c r="B94" t="inlineStr">
        <is>
          <t>Vend_C</t>
        </is>
      </c>
      <c r="C94" s="13" t="n">
        <v>45352</v>
      </c>
      <c r="D94" s="13" t="n">
        <v>45412</v>
      </c>
      <c r="E94" t="inlineStr">
        <is>
          <t>USD</t>
        </is>
      </c>
      <c r="F94" t="n">
        <v>8983.700000000001</v>
      </c>
      <c r="G94" t="inlineStr">
        <is>
          <t>Paid</t>
        </is>
      </c>
      <c r="H94" s="13" t="n">
        <v>45426</v>
      </c>
    </row>
    <row r="95">
      <c r="A95" t="n">
        <v>9093</v>
      </c>
      <c r="B95" t="inlineStr">
        <is>
          <t>Vend_B</t>
        </is>
      </c>
      <c r="C95" s="13" t="n">
        <v>45598</v>
      </c>
      <c r="D95" s="13" t="n">
        <v>45658</v>
      </c>
      <c r="E95" t="inlineStr">
        <is>
          <t>EUR</t>
        </is>
      </c>
      <c r="F95" t="n">
        <v>7643.37</v>
      </c>
      <c r="G95" t="inlineStr">
        <is>
          <t>Paid</t>
        </is>
      </c>
      <c r="H95" s="13" t="n">
        <v>45658</v>
      </c>
    </row>
    <row r="96">
      <c r="A96" t="n">
        <v>9094</v>
      </c>
      <c r="B96" t="inlineStr">
        <is>
          <t>Vend_A</t>
        </is>
      </c>
      <c r="C96" s="13" t="n">
        <v>45385</v>
      </c>
      <c r="D96" s="13" t="n">
        <v>45445</v>
      </c>
      <c r="E96" t="inlineStr">
        <is>
          <t>EUR</t>
        </is>
      </c>
      <c r="F96" t="n">
        <v>1013.77</v>
      </c>
      <c r="G96" t="inlineStr">
        <is>
          <t>Paid</t>
        </is>
      </c>
      <c r="H96" s="13" t="n">
        <v>45459</v>
      </c>
    </row>
    <row r="97">
      <c r="A97" t="n">
        <v>9095</v>
      </c>
      <c r="B97" t="inlineStr">
        <is>
          <t>Vend_C</t>
        </is>
      </c>
      <c r="C97" s="13" t="n">
        <v>45343</v>
      </c>
      <c r="D97" s="13" t="n">
        <v>45403</v>
      </c>
      <c r="E97" t="inlineStr">
        <is>
          <t>EUR</t>
        </is>
      </c>
      <c r="F97" t="n">
        <v>4195.01</v>
      </c>
      <c r="G97" t="inlineStr">
        <is>
          <t>Paid</t>
        </is>
      </c>
      <c r="H97" s="13" t="n">
        <v>45419</v>
      </c>
    </row>
    <row r="98">
      <c r="A98" t="n">
        <v>9096</v>
      </c>
      <c r="B98" t="inlineStr">
        <is>
          <t>Vend_B</t>
        </is>
      </c>
      <c r="C98" s="13" t="n">
        <v>45306</v>
      </c>
      <c r="D98" s="13" t="n">
        <v>45366</v>
      </c>
      <c r="E98" t="inlineStr">
        <is>
          <t>EUR</t>
        </is>
      </c>
      <c r="F98" t="n">
        <v>5145.92</v>
      </c>
      <c r="G98" t="inlineStr">
        <is>
          <t>Open</t>
        </is>
      </c>
    </row>
    <row r="99">
      <c r="A99" t="n">
        <v>9097</v>
      </c>
      <c r="B99" t="inlineStr">
        <is>
          <t>Vend_B</t>
        </is>
      </c>
      <c r="C99" s="13" t="n">
        <v>45609</v>
      </c>
      <c r="D99" s="13" t="n">
        <v>45669</v>
      </c>
      <c r="E99" t="inlineStr">
        <is>
          <t>EUR</t>
        </is>
      </c>
      <c r="F99" t="n">
        <v>11906.22</v>
      </c>
      <c r="G99" t="inlineStr">
        <is>
          <t>Paid</t>
        </is>
      </c>
      <c r="H99" s="13" t="n">
        <v>45690</v>
      </c>
    </row>
    <row r="100">
      <c r="A100" t="n">
        <v>9098</v>
      </c>
      <c r="B100" t="inlineStr">
        <is>
          <t>Vend_C</t>
        </is>
      </c>
      <c r="C100" s="13" t="n">
        <v>45503</v>
      </c>
      <c r="D100" s="13" t="n">
        <v>45533</v>
      </c>
      <c r="E100" t="inlineStr">
        <is>
          <t>EUR</t>
        </is>
      </c>
      <c r="F100" t="n">
        <v>6290.98</v>
      </c>
      <c r="G100" t="inlineStr">
        <is>
          <t>Paid</t>
        </is>
      </c>
      <c r="H100" s="13" t="n">
        <v>45552</v>
      </c>
    </row>
    <row r="101">
      <c r="A101" t="n">
        <v>9099</v>
      </c>
      <c r="B101" t="inlineStr">
        <is>
          <t>Vend_A</t>
        </is>
      </c>
      <c r="C101" s="13" t="n">
        <v>45518</v>
      </c>
      <c r="D101" s="13" t="n">
        <v>45548</v>
      </c>
      <c r="E101" t="inlineStr">
        <is>
          <t>JPY</t>
        </is>
      </c>
      <c r="F101" t="n">
        <v>4024.8</v>
      </c>
      <c r="G101" t="inlineStr">
        <is>
          <t>Paid</t>
        </is>
      </c>
      <c r="H101" s="13" t="n">
        <v>45573</v>
      </c>
    </row>
    <row r="102">
      <c r="A102" t="n">
        <v>9100</v>
      </c>
      <c r="B102" t="inlineStr">
        <is>
          <t>Vend_C</t>
        </is>
      </c>
      <c r="C102" s="13" t="n">
        <v>45560</v>
      </c>
      <c r="D102" s="13" t="n">
        <v>45620</v>
      </c>
      <c r="E102" t="inlineStr">
        <is>
          <t>EUR</t>
        </is>
      </c>
      <c r="F102" t="n">
        <v>5963.14</v>
      </c>
      <c r="G102" t="inlineStr">
        <is>
          <t>Open</t>
        </is>
      </c>
    </row>
    <row r="103">
      <c r="A103" t="n">
        <v>9101</v>
      </c>
      <c r="B103" t="inlineStr">
        <is>
          <t>Vend_B</t>
        </is>
      </c>
      <c r="C103" s="13" t="n">
        <v>45455</v>
      </c>
      <c r="D103" s="13" t="n">
        <v>45515</v>
      </c>
      <c r="E103" t="inlineStr">
        <is>
          <t>EUR</t>
        </is>
      </c>
      <c r="F103" t="n">
        <v>13417.44</v>
      </c>
      <c r="G103" t="inlineStr">
        <is>
          <t>Overdue</t>
        </is>
      </c>
    </row>
    <row r="104">
      <c r="A104" t="n">
        <v>9102</v>
      </c>
      <c r="B104" t="inlineStr">
        <is>
          <t>Vend_B</t>
        </is>
      </c>
      <c r="C104" s="13" t="n">
        <v>45572</v>
      </c>
      <c r="D104" s="13" t="n">
        <v>45632</v>
      </c>
      <c r="E104" t="inlineStr">
        <is>
          <t>EUR</t>
        </is>
      </c>
      <c r="F104" t="n">
        <v>14314.13</v>
      </c>
      <c r="G104" t="inlineStr">
        <is>
          <t>Paid</t>
        </is>
      </c>
      <c r="H104" s="13" t="n">
        <v>45646</v>
      </c>
    </row>
    <row r="105">
      <c r="A105" t="n">
        <v>9103</v>
      </c>
      <c r="B105" t="inlineStr">
        <is>
          <t>Vend_C</t>
        </is>
      </c>
      <c r="C105" s="13" t="n">
        <v>45343</v>
      </c>
      <c r="D105" s="13" t="n">
        <v>45403</v>
      </c>
      <c r="E105" t="inlineStr">
        <is>
          <t>EUR</t>
        </is>
      </c>
      <c r="F105" t="n">
        <v>2717.93</v>
      </c>
      <c r="G105" t="inlineStr">
        <is>
          <t>Paid</t>
        </is>
      </c>
      <c r="H105" s="13" t="n">
        <v>45409</v>
      </c>
    </row>
    <row r="106">
      <c r="A106" t="n">
        <v>9104</v>
      </c>
      <c r="B106" t="inlineStr">
        <is>
          <t>Vend_C</t>
        </is>
      </c>
      <c r="C106" s="13" t="n">
        <v>45519</v>
      </c>
      <c r="D106" s="13" t="n">
        <v>45579</v>
      </c>
      <c r="E106" t="inlineStr">
        <is>
          <t>EUR</t>
        </is>
      </c>
      <c r="F106" t="n">
        <v>4406.85</v>
      </c>
      <c r="G106" t="inlineStr">
        <is>
          <t>Paid</t>
        </is>
      </c>
      <c r="H106" s="13" t="n">
        <v>45596</v>
      </c>
    </row>
    <row r="107">
      <c r="A107" t="n">
        <v>9105</v>
      </c>
      <c r="B107" t="inlineStr">
        <is>
          <t>Vend_C</t>
        </is>
      </c>
      <c r="C107" s="13" t="n">
        <v>45356</v>
      </c>
      <c r="D107" s="13" t="n">
        <v>45386</v>
      </c>
      <c r="E107" t="inlineStr">
        <is>
          <t>EUR</t>
        </is>
      </c>
      <c r="F107" t="n">
        <v>6822.47</v>
      </c>
      <c r="G107" t="inlineStr">
        <is>
          <t>Open</t>
        </is>
      </c>
    </row>
    <row r="108">
      <c r="A108" t="n">
        <v>9106</v>
      </c>
      <c r="B108" t="inlineStr">
        <is>
          <t>Vend_B</t>
        </is>
      </c>
      <c r="C108" s="13" t="n">
        <v>45491</v>
      </c>
      <c r="D108" s="13" t="n">
        <v>45551</v>
      </c>
      <c r="E108" t="inlineStr">
        <is>
          <t>EUR</t>
        </is>
      </c>
      <c r="F108" t="n">
        <v>7871.63</v>
      </c>
      <c r="G108" t="inlineStr">
        <is>
          <t>Paid</t>
        </is>
      </c>
      <c r="H108" s="13" t="n">
        <v>45564</v>
      </c>
    </row>
    <row r="109">
      <c r="A109" t="n">
        <v>9107</v>
      </c>
      <c r="B109" t="inlineStr">
        <is>
          <t>Vend_C</t>
        </is>
      </c>
      <c r="C109" s="13" t="n">
        <v>45568</v>
      </c>
      <c r="D109" s="13" t="n">
        <v>45598</v>
      </c>
      <c r="E109" t="inlineStr">
        <is>
          <t>EUR</t>
        </is>
      </c>
      <c r="F109" t="n">
        <v>2760.65</v>
      </c>
      <c r="G109" t="inlineStr">
        <is>
          <t>Open</t>
        </is>
      </c>
    </row>
    <row r="110">
      <c r="A110" t="n">
        <v>9108</v>
      </c>
      <c r="B110" t="inlineStr">
        <is>
          <t>Vend_B</t>
        </is>
      </c>
      <c r="C110" s="13" t="n">
        <v>45414</v>
      </c>
      <c r="D110" s="13" t="n">
        <v>45444</v>
      </c>
      <c r="E110" t="inlineStr">
        <is>
          <t>USD</t>
        </is>
      </c>
      <c r="F110" t="n">
        <v>12275.5</v>
      </c>
      <c r="G110" t="inlineStr">
        <is>
          <t>Paid</t>
        </is>
      </c>
      <c r="H110" s="13" t="n">
        <v>45464</v>
      </c>
    </row>
    <row r="111">
      <c r="A111" t="n">
        <v>9109</v>
      </c>
      <c r="B111" t="inlineStr">
        <is>
          <t>Vend_C</t>
        </is>
      </c>
      <c r="C111" s="13" t="n">
        <v>45422</v>
      </c>
      <c r="D111" s="13" t="n">
        <v>45482</v>
      </c>
      <c r="E111" t="inlineStr">
        <is>
          <t>EUR</t>
        </is>
      </c>
      <c r="F111" t="n">
        <v>5187.79</v>
      </c>
      <c r="G111" t="inlineStr">
        <is>
          <t>Open</t>
        </is>
      </c>
    </row>
    <row r="112">
      <c r="A112" t="n">
        <v>9110</v>
      </c>
      <c r="B112" t="inlineStr">
        <is>
          <t>Vend_B</t>
        </is>
      </c>
      <c r="C112" s="13" t="n">
        <v>45651</v>
      </c>
      <c r="D112" s="13" t="n">
        <v>45711</v>
      </c>
      <c r="E112" t="inlineStr">
        <is>
          <t>EUR</t>
        </is>
      </c>
      <c r="F112" t="n">
        <v>11173.75</v>
      </c>
      <c r="G112" t="inlineStr">
        <is>
          <t>Paid</t>
        </is>
      </c>
      <c r="H112" s="13" t="n">
        <v>45712</v>
      </c>
    </row>
    <row r="113">
      <c r="A113" t="n">
        <v>9111</v>
      </c>
      <c r="B113" t="inlineStr">
        <is>
          <t>Vend_A</t>
        </is>
      </c>
      <c r="C113" s="13" t="n">
        <v>45499</v>
      </c>
      <c r="D113" s="13" t="n">
        <v>45559</v>
      </c>
      <c r="E113" t="inlineStr">
        <is>
          <t>EUR</t>
        </is>
      </c>
      <c r="F113" t="n">
        <v>3104.25</v>
      </c>
      <c r="G113" t="inlineStr">
        <is>
          <t>Paid</t>
        </is>
      </c>
      <c r="H113" s="13" t="n">
        <v>45569</v>
      </c>
    </row>
    <row r="114">
      <c r="A114" t="n">
        <v>9112</v>
      </c>
      <c r="B114" t="inlineStr">
        <is>
          <t>Vend_B</t>
        </is>
      </c>
      <c r="C114" s="13" t="n">
        <v>45487</v>
      </c>
      <c r="D114" s="13" t="n">
        <v>45547</v>
      </c>
      <c r="E114" t="inlineStr">
        <is>
          <t>EUR</t>
        </is>
      </c>
      <c r="F114" t="n">
        <v>4449.7</v>
      </c>
      <c r="G114" t="inlineStr">
        <is>
          <t>Open</t>
        </is>
      </c>
    </row>
    <row r="115">
      <c r="A115" t="n">
        <v>9113</v>
      </c>
      <c r="B115" t="inlineStr">
        <is>
          <t>Vend_B</t>
        </is>
      </c>
      <c r="C115" s="13" t="n">
        <v>45404</v>
      </c>
      <c r="D115" s="13" t="n">
        <v>45464</v>
      </c>
      <c r="E115" t="inlineStr">
        <is>
          <t>EUR</t>
        </is>
      </c>
      <c r="F115" t="n">
        <v>6074.15</v>
      </c>
      <c r="G115" t="inlineStr">
        <is>
          <t>Paid</t>
        </is>
      </c>
      <c r="H115" s="13" t="n">
        <v>45468</v>
      </c>
    </row>
    <row r="116">
      <c r="A116" t="n">
        <v>9114</v>
      </c>
      <c r="B116" t="inlineStr">
        <is>
          <t>Vend_C</t>
        </is>
      </c>
      <c r="C116" s="13" t="n">
        <v>45324</v>
      </c>
      <c r="D116" s="13" t="n">
        <v>45354</v>
      </c>
      <c r="E116" t="inlineStr">
        <is>
          <t>EUR</t>
        </is>
      </c>
      <c r="F116" t="n">
        <v>7674.72</v>
      </c>
      <c r="G116" t="inlineStr">
        <is>
          <t>Paid</t>
        </is>
      </c>
      <c r="H116" s="13" t="n">
        <v>45373</v>
      </c>
    </row>
    <row r="117">
      <c r="A117" t="n">
        <v>9115</v>
      </c>
      <c r="B117" t="inlineStr">
        <is>
          <t>Vend_B</t>
        </is>
      </c>
      <c r="C117" s="13" t="n">
        <v>45356</v>
      </c>
      <c r="D117" s="13" t="n">
        <v>45416</v>
      </c>
      <c r="E117" t="inlineStr">
        <is>
          <t>EUR</t>
        </is>
      </c>
      <c r="F117" t="n">
        <v>2480.82</v>
      </c>
      <c r="G117" t="inlineStr">
        <is>
          <t>Paid</t>
        </is>
      </c>
      <c r="H117" s="13" t="n">
        <v>45428</v>
      </c>
    </row>
    <row r="118">
      <c r="A118" t="n">
        <v>9116</v>
      </c>
      <c r="B118" t="inlineStr">
        <is>
          <t>Vend_B</t>
        </is>
      </c>
      <c r="C118" s="13" t="n">
        <v>45657</v>
      </c>
      <c r="D118" s="13" t="n">
        <v>45687</v>
      </c>
      <c r="E118" t="inlineStr">
        <is>
          <t>EUR</t>
        </is>
      </c>
      <c r="F118" t="n">
        <v>10132.07</v>
      </c>
      <c r="G118" t="inlineStr">
        <is>
          <t>Open</t>
        </is>
      </c>
    </row>
    <row r="119">
      <c r="A119" t="n">
        <v>9117</v>
      </c>
      <c r="B119" t="inlineStr">
        <is>
          <t>Vend_C</t>
        </is>
      </c>
      <c r="C119" s="13" t="n">
        <v>45558</v>
      </c>
      <c r="D119" s="13" t="n">
        <v>45618</v>
      </c>
      <c r="E119" t="inlineStr">
        <is>
          <t>EUR</t>
        </is>
      </c>
      <c r="F119" t="n">
        <v>5837.06</v>
      </c>
      <c r="G119" t="inlineStr">
        <is>
          <t>Open</t>
        </is>
      </c>
    </row>
    <row r="120">
      <c r="A120" t="n">
        <v>9118</v>
      </c>
      <c r="B120" t="inlineStr">
        <is>
          <t>Vend_C</t>
        </is>
      </c>
      <c r="C120" s="13" t="n">
        <v>45296</v>
      </c>
      <c r="D120" s="13" t="n">
        <v>45356</v>
      </c>
      <c r="E120" t="inlineStr">
        <is>
          <t>EUR</t>
        </is>
      </c>
      <c r="F120" t="n">
        <v>4941.87</v>
      </c>
      <c r="G120" t="inlineStr">
        <is>
          <t>Open</t>
        </is>
      </c>
    </row>
    <row r="121">
      <c r="A121" t="n">
        <v>9119</v>
      </c>
      <c r="B121" t="inlineStr">
        <is>
          <t>Vend_C</t>
        </is>
      </c>
      <c r="C121" s="13" t="n">
        <v>45331</v>
      </c>
      <c r="D121" s="13" t="n">
        <v>45361</v>
      </c>
      <c r="E121" t="inlineStr">
        <is>
          <t>EUR</t>
        </is>
      </c>
      <c r="F121" t="n">
        <v>13695.61</v>
      </c>
      <c r="G121" t="inlineStr">
        <is>
          <t>Paid</t>
        </is>
      </c>
      <c r="H121" s="13" t="n">
        <v>45364</v>
      </c>
    </row>
    <row r="122">
      <c r="A122" t="n">
        <v>9120</v>
      </c>
      <c r="B122" t="inlineStr">
        <is>
          <t>Vend_B</t>
        </is>
      </c>
      <c r="C122" s="13" t="n">
        <v>45415</v>
      </c>
      <c r="D122" s="13" t="n">
        <v>45475</v>
      </c>
      <c r="E122" t="inlineStr">
        <is>
          <t>JPY</t>
        </is>
      </c>
      <c r="F122" t="n">
        <v>3902.15</v>
      </c>
      <c r="G122" t="inlineStr">
        <is>
          <t>Overdue</t>
        </is>
      </c>
    </row>
    <row r="123">
      <c r="A123" t="n">
        <v>9121</v>
      </c>
      <c r="B123" t="inlineStr">
        <is>
          <t>Vend_A</t>
        </is>
      </c>
      <c r="C123" s="13" t="n">
        <v>45583</v>
      </c>
      <c r="D123" s="13" t="n">
        <v>45613</v>
      </c>
      <c r="E123" t="inlineStr">
        <is>
          <t>EUR</t>
        </is>
      </c>
      <c r="F123" t="n">
        <v>4481.78</v>
      </c>
      <c r="G123" t="inlineStr">
        <is>
          <t>Paid</t>
        </is>
      </c>
      <c r="H123" s="13" t="n">
        <v>45617</v>
      </c>
    </row>
    <row r="124">
      <c r="A124" t="n">
        <v>9122</v>
      </c>
      <c r="B124" t="inlineStr">
        <is>
          <t>Vend_A</t>
        </is>
      </c>
      <c r="C124" s="13" t="n">
        <v>45656</v>
      </c>
      <c r="D124" s="13" t="n">
        <v>45686</v>
      </c>
      <c r="E124" t="inlineStr">
        <is>
          <t>EUR</t>
        </is>
      </c>
      <c r="F124" t="n">
        <v>5186.81</v>
      </c>
      <c r="G124" t="inlineStr">
        <is>
          <t>Open</t>
        </is>
      </c>
    </row>
    <row r="125">
      <c r="A125" t="n">
        <v>9123</v>
      </c>
      <c r="B125" t="inlineStr">
        <is>
          <t>Vend_A</t>
        </is>
      </c>
      <c r="C125" s="13" t="n">
        <v>45349</v>
      </c>
      <c r="D125" s="13" t="n">
        <v>45379</v>
      </c>
      <c r="E125" t="inlineStr">
        <is>
          <t>EUR</t>
        </is>
      </c>
      <c r="F125" t="n">
        <v>3489.3</v>
      </c>
      <c r="G125" t="inlineStr">
        <is>
          <t>Open</t>
        </is>
      </c>
    </row>
    <row r="126">
      <c r="A126" t="n">
        <v>9124</v>
      </c>
      <c r="B126" t="inlineStr">
        <is>
          <t>Vend_A</t>
        </is>
      </c>
      <c r="C126" s="13" t="n">
        <v>45483</v>
      </c>
      <c r="D126" s="13" t="n">
        <v>45513</v>
      </c>
      <c r="E126" t="inlineStr">
        <is>
          <t>EUR</t>
        </is>
      </c>
      <c r="F126" t="n">
        <v>7102.5</v>
      </c>
      <c r="G126" t="inlineStr">
        <is>
          <t>Open</t>
        </is>
      </c>
    </row>
    <row r="127">
      <c r="A127" t="n">
        <v>9125</v>
      </c>
      <c r="B127" t="inlineStr">
        <is>
          <t>Vend_C</t>
        </is>
      </c>
      <c r="C127" s="13" t="n">
        <v>45475</v>
      </c>
      <c r="D127" s="13" t="n">
        <v>45505</v>
      </c>
      <c r="E127" t="inlineStr">
        <is>
          <t>EUR</t>
        </is>
      </c>
      <c r="F127" t="n">
        <v>12690.8</v>
      </c>
      <c r="G127" t="inlineStr">
        <is>
          <t>Paid</t>
        </is>
      </c>
      <c r="H127" s="13" t="n">
        <v>45515</v>
      </c>
    </row>
    <row r="128">
      <c r="A128" t="n">
        <v>9126</v>
      </c>
      <c r="B128" t="inlineStr">
        <is>
          <t>Vend_C</t>
        </is>
      </c>
      <c r="C128" s="13" t="n">
        <v>45503</v>
      </c>
      <c r="D128" s="13" t="n">
        <v>45533</v>
      </c>
      <c r="E128" t="inlineStr">
        <is>
          <t>EUR</t>
        </is>
      </c>
      <c r="F128" t="n">
        <v>2811.37</v>
      </c>
      <c r="G128" t="inlineStr">
        <is>
          <t>Paid</t>
        </is>
      </c>
      <c r="H128" s="13" t="n">
        <v>45547</v>
      </c>
    </row>
    <row r="129">
      <c r="A129" t="n">
        <v>9127</v>
      </c>
      <c r="B129" t="inlineStr">
        <is>
          <t>Vend_B</t>
        </is>
      </c>
      <c r="C129" s="13" t="n">
        <v>45365</v>
      </c>
      <c r="D129" s="13" t="n">
        <v>45425</v>
      </c>
      <c r="E129" t="inlineStr">
        <is>
          <t>EUR</t>
        </is>
      </c>
      <c r="F129" t="n">
        <v>7598.54</v>
      </c>
      <c r="G129" t="inlineStr">
        <is>
          <t>Paid</t>
        </is>
      </c>
      <c r="H129" s="13" t="n">
        <v>45439</v>
      </c>
    </row>
    <row r="130">
      <c r="A130" t="n">
        <v>9128</v>
      </c>
      <c r="B130" t="inlineStr">
        <is>
          <t>Vend_C</t>
        </is>
      </c>
      <c r="C130" s="13" t="n">
        <v>45345</v>
      </c>
      <c r="D130" s="13" t="n">
        <v>45375</v>
      </c>
      <c r="E130" t="inlineStr">
        <is>
          <t>EUR</t>
        </is>
      </c>
      <c r="F130" t="n">
        <v>3953.4</v>
      </c>
      <c r="G130" t="inlineStr">
        <is>
          <t>Paid</t>
        </is>
      </c>
      <c r="H130" s="13" t="n">
        <v>45392</v>
      </c>
    </row>
    <row r="131">
      <c r="A131" t="n">
        <v>9129</v>
      </c>
      <c r="B131" t="inlineStr">
        <is>
          <t>Vend_A</t>
        </is>
      </c>
      <c r="C131" s="13" t="n">
        <v>45515</v>
      </c>
      <c r="D131" s="13" t="n">
        <v>45545</v>
      </c>
      <c r="E131" t="inlineStr">
        <is>
          <t>EUR</t>
        </is>
      </c>
      <c r="F131" t="n">
        <v>16500.56</v>
      </c>
      <c r="G131" t="inlineStr">
        <is>
          <t>Paid</t>
        </is>
      </c>
      <c r="H131" s="13" t="n">
        <v>45567</v>
      </c>
    </row>
    <row r="132">
      <c r="A132" t="n">
        <v>9130</v>
      </c>
      <c r="B132" t="inlineStr">
        <is>
          <t>Vend_C</t>
        </is>
      </c>
      <c r="C132" s="13" t="n">
        <v>45489</v>
      </c>
      <c r="D132" s="13" t="n">
        <v>45549</v>
      </c>
      <c r="E132" t="inlineStr">
        <is>
          <t>EUR</t>
        </is>
      </c>
      <c r="F132" t="n">
        <v>9611.65</v>
      </c>
      <c r="G132" t="inlineStr">
        <is>
          <t>Open</t>
        </is>
      </c>
    </row>
    <row r="133">
      <c r="A133" t="n">
        <v>9131</v>
      </c>
      <c r="B133" t="inlineStr">
        <is>
          <t>Vend_A</t>
        </is>
      </c>
      <c r="C133" s="13" t="n">
        <v>45419</v>
      </c>
      <c r="D133" s="13" t="n">
        <v>45449</v>
      </c>
      <c r="E133" t="inlineStr">
        <is>
          <t>EUR</t>
        </is>
      </c>
      <c r="F133" t="n">
        <v>6472.5</v>
      </c>
      <c r="G133" t="inlineStr">
        <is>
          <t>Paid</t>
        </is>
      </c>
      <c r="H133" s="13" t="n">
        <v>45449</v>
      </c>
    </row>
    <row r="134">
      <c r="A134" t="n">
        <v>9132</v>
      </c>
      <c r="B134" t="inlineStr">
        <is>
          <t>Vend_B</t>
        </is>
      </c>
      <c r="C134" s="13" t="n">
        <v>45622</v>
      </c>
      <c r="D134" s="13" t="n">
        <v>45682</v>
      </c>
      <c r="E134" t="inlineStr">
        <is>
          <t>EUR</t>
        </is>
      </c>
      <c r="F134" t="n">
        <v>14476.47</v>
      </c>
      <c r="G134" t="inlineStr">
        <is>
          <t>Paid</t>
        </is>
      </c>
      <c r="H134" s="13" t="n">
        <v>45695</v>
      </c>
    </row>
    <row r="135">
      <c r="A135" t="n">
        <v>9133</v>
      </c>
      <c r="B135" t="inlineStr">
        <is>
          <t>Vend_A</t>
        </is>
      </c>
      <c r="C135" s="13" t="n">
        <v>45384</v>
      </c>
      <c r="D135" s="13" t="n">
        <v>45414</v>
      </c>
      <c r="E135" t="inlineStr">
        <is>
          <t>EUR</t>
        </is>
      </c>
      <c r="F135" t="n">
        <v>11207.03</v>
      </c>
      <c r="G135" t="inlineStr">
        <is>
          <t>Paid</t>
        </is>
      </c>
      <c r="H135" s="13" t="n">
        <v>45431</v>
      </c>
    </row>
    <row r="136">
      <c r="A136" t="n">
        <v>9134</v>
      </c>
      <c r="B136" t="inlineStr">
        <is>
          <t>Vend_A</t>
        </is>
      </c>
      <c r="C136" s="13" t="n">
        <v>45573</v>
      </c>
      <c r="D136" s="13" t="n">
        <v>45603</v>
      </c>
      <c r="E136" t="inlineStr">
        <is>
          <t>EUR</t>
        </is>
      </c>
      <c r="F136" t="n">
        <v>5052.83</v>
      </c>
      <c r="G136" t="inlineStr">
        <is>
          <t>Paid</t>
        </is>
      </c>
      <c r="H136" s="13" t="n">
        <v>45606</v>
      </c>
    </row>
    <row r="137">
      <c r="A137" t="n">
        <v>9135</v>
      </c>
      <c r="B137" t="inlineStr">
        <is>
          <t>Vend_A</t>
        </is>
      </c>
      <c r="C137" s="13" t="n">
        <v>45470</v>
      </c>
      <c r="D137" s="13" t="n">
        <v>45530</v>
      </c>
      <c r="E137" t="inlineStr">
        <is>
          <t>EUR</t>
        </is>
      </c>
      <c r="F137" t="n">
        <v>3223.73</v>
      </c>
      <c r="G137" t="inlineStr">
        <is>
          <t>Paid</t>
        </is>
      </c>
      <c r="H137" s="13" t="n">
        <v>45537</v>
      </c>
    </row>
    <row r="138">
      <c r="A138" t="n">
        <v>9136</v>
      </c>
      <c r="B138" t="inlineStr">
        <is>
          <t>Vend_A</t>
        </is>
      </c>
      <c r="C138" s="13" t="n">
        <v>45598</v>
      </c>
      <c r="D138" s="13" t="n">
        <v>45628</v>
      </c>
      <c r="E138" t="inlineStr">
        <is>
          <t>EUR</t>
        </is>
      </c>
      <c r="F138" t="n">
        <v>6914.21</v>
      </c>
      <c r="G138" t="inlineStr">
        <is>
          <t>Paid</t>
        </is>
      </c>
      <c r="H138" s="13" t="n">
        <v>45644</v>
      </c>
    </row>
    <row r="139">
      <c r="A139" t="n">
        <v>9137</v>
      </c>
      <c r="B139" t="inlineStr">
        <is>
          <t>Vend_C</t>
        </is>
      </c>
      <c r="C139" s="13" t="n">
        <v>45406</v>
      </c>
      <c r="D139" s="13" t="n">
        <v>45466</v>
      </c>
      <c r="E139" t="inlineStr">
        <is>
          <t>EUR</t>
        </is>
      </c>
      <c r="F139" t="n">
        <v>2521.09</v>
      </c>
      <c r="G139" t="inlineStr">
        <is>
          <t>Overdue</t>
        </is>
      </c>
    </row>
    <row r="140">
      <c r="A140" t="n">
        <v>9138</v>
      </c>
      <c r="B140" t="inlineStr">
        <is>
          <t>Vend_C</t>
        </is>
      </c>
      <c r="C140" s="13" t="n">
        <v>45462</v>
      </c>
      <c r="D140" s="13" t="n">
        <v>45522</v>
      </c>
      <c r="E140" t="inlineStr">
        <is>
          <t>EUR</t>
        </is>
      </c>
      <c r="F140" t="n">
        <v>2670.59</v>
      </c>
      <c r="G140" t="inlineStr">
        <is>
          <t>Open</t>
        </is>
      </c>
    </row>
    <row r="141">
      <c r="A141" t="n">
        <v>9139</v>
      </c>
      <c r="B141" t="inlineStr">
        <is>
          <t>Vend_A</t>
        </is>
      </c>
      <c r="C141" s="13" t="n">
        <v>45516</v>
      </c>
      <c r="D141" s="13" t="n">
        <v>45576</v>
      </c>
      <c r="E141" t="inlineStr">
        <is>
          <t>EUR</t>
        </is>
      </c>
      <c r="F141" t="n">
        <v>3844.29</v>
      </c>
      <c r="G141" t="inlineStr">
        <is>
          <t>Paid</t>
        </is>
      </c>
      <c r="H141" s="13" t="n">
        <v>45597</v>
      </c>
    </row>
    <row r="142">
      <c r="A142" t="n">
        <v>9140</v>
      </c>
      <c r="B142" t="inlineStr">
        <is>
          <t>Vend_A</t>
        </is>
      </c>
      <c r="C142" s="13" t="n">
        <v>45649</v>
      </c>
      <c r="D142" s="13" t="n">
        <v>45679</v>
      </c>
      <c r="E142" t="inlineStr">
        <is>
          <t>EUR</t>
        </is>
      </c>
      <c r="F142" t="n">
        <v>3466.15</v>
      </c>
      <c r="G142" t="inlineStr">
        <is>
          <t>Paid</t>
        </is>
      </c>
      <c r="H142" s="13" t="n">
        <v>45683</v>
      </c>
    </row>
    <row r="143">
      <c r="A143" t="n">
        <v>9141</v>
      </c>
      <c r="B143" t="inlineStr">
        <is>
          <t>Vend_B</t>
        </is>
      </c>
      <c r="C143" s="13" t="n">
        <v>45333</v>
      </c>
      <c r="D143" s="13" t="n">
        <v>45363</v>
      </c>
      <c r="E143" t="inlineStr">
        <is>
          <t>EUR</t>
        </is>
      </c>
      <c r="F143" t="n">
        <v>7535.29</v>
      </c>
      <c r="G143" t="inlineStr">
        <is>
          <t>Paid</t>
        </is>
      </c>
      <c r="H143" s="13" t="n">
        <v>45385</v>
      </c>
    </row>
    <row r="144">
      <c r="A144" t="n">
        <v>9142</v>
      </c>
      <c r="B144" t="inlineStr">
        <is>
          <t>Vend_C</t>
        </is>
      </c>
      <c r="C144" s="13" t="n">
        <v>45301</v>
      </c>
      <c r="D144" s="13" t="n">
        <v>45361</v>
      </c>
      <c r="E144" t="inlineStr">
        <is>
          <t>EUR</t>
        </is>
      </c>
      <c r="F144" t="n">
        <v>6814.96</v>
      </c>
      <c r="G144" t="inlineStr">
        <is>
          <t>Paid</t>
        </is>
      </c>
      <c r="H144" s="13" t="n">
        <v>45386</v>
      </c>
    </row>
    <row r="145">
      <c r="A145" t="n">
        <v>9143</v>
      </c>
      <c r="B145" t="inlineStr">
        <is>
          <t>Vend_A</t>
        </is>
      </c>
      <c r="C145" s="13" t="n">
        <v>45589</v>
      </c>
      <c r="D145" s="13" t="n">
        <v>45619</v>
      </c>
      <c r="E145" t="inlineStr">
        <is>
          <t>EUR</t>
        </is>
      </c>
      <c r="F145" t="n">
        <v>3120.08</v>
      </c>
      <c r="G145" t="inlineStr">
        <is>
          <t>Open</t>
        </is>
      </c>
    </row>
    <row r="146">
      <c r="A146" t="n">
        <v>9144</v>
      </c>
      <c r="B146" t="inlineStr">
        <is>
          <t>Vend_C</t>
        </is>
      </c>
      <c r="C146" s="13" t="n">
        <v>45483</v>
      </c>
      <c r="D146" s="13" t="n">
        <v>45543</v>
      </c>
      <c r="E146" t="inlineStr">
        <is>
          <t>EUR</t>
        </is>
      </c>
      <c r="F146" t="n">
        <v>1135.91</v>
      </c>
      <c r="G146" t="inlineStr">
        <is>
          <t>Paid</t>
        </is>
      </c>
      <c r="H146" s="13" t="n">
        <v>45553</v>
      </c>
    </row>
    <row r="147">
      <c r="A147" t="n">
        <v>9145</v>
      </c>
      <c r="B147" t="inlineStr">
        <is>
          <t>Vend_C</t>
        </is>
      </c>
      <c r="C147" s="13" t="n">
        <v>45533</v>
      </c>
      <c r="D147" s="13" t="n">
        <v>45593</v>
      </c>
      <c r="E147" t="inlineStr">
        <is>
          <t>EUR</t>
        </is>
      </c>
      <c r="F147" t="n">
        <v>1608.68</v>
      </c>
      <c r="G147" t="inlineStr">
        <is>
          <t>Paid</t>
        </is>
      </c>
      <c r="H147" s="13" t="n">
        <v>45605</v>
      </c>
    </row>
    <row r="148">
      <c r="A148" t="n">
        <v>9146</v>
      </c>
      <c r="B148" t="inlineStr">
        <is>
          <t>Vend_B</t>
        </is>
      </c>
      <c r="C148" s="13" t="n">
        <v>45508</v>
      </c>
      <c r="D148" s="13" t="n">
        <v>45568</v>
      </c>
      <c r="E148" t="inlineStr">
        <is>
          <t>EUR</t>
        </is>
      </c>
      <c r="F148" t="n">
        <v>5642.89</v>
      </c>
      <c r="G148" t="inlineStr">
        <is>
          <t>Open</t>
        </is>
      </c>
    </row>
    <row r="149">
      <c r="A149" t="n">
        <v>9147</v>
      </c>
      <c r="B149" t="inlineStr">
        <is>
          <t>Vend_A</t>
        </is>
      </c>
      <c r="C149" s="13" t="n">
        <v>45556</v>
      </c>
      <c r="D149" s="13" t="n">
        <v>45586</v>
      </c>
      <c r="E149" t="inlineStr">
        <is>
          <t>EUR</t>
        </is>
      </c>
      <c r="F149" t="n">
        <v>1008.3</v>
      </c>
      <c r="G149" t="inlineStr">
        <is>
          <t>Open</t>
        </is>
      </c>
    </row>
    <row r="150">
      <c r="A150" t="n">
        <v>9148</v>
      </c>
      <c r="B150" t="inlineStr">
        <is>
          <t>Vend_C</t>
        </is>
      </c>
      <c r="C150" s="13" t="n">
        <v>45403</v>
      </c>
      <c r="D150" s="13" t="n">
        <v>45463</v>
      </c>
      <c r="E150" t="inlineStr">
        <is>
          <t>JPY</t>
        </is>
      </c>
      <c r="F150" t="n">
        <v>6900.85</v>
      </c>
      <c r="G150" t="inlineStr">
        <is>
          <t>Paid</t>
        </is>
      </c>
      <c r="H150" s="13" t="n">
        <v>45474</v>
      </c>
    </row>
    <row r="151">
      <c r="A151" t="n">
        <v>9149</v>
      </c>
      <c r="B151" t="inlineStr">
        <is>
          <t>Vend_C</t>
        </is>
      </c>
      <c r="C151" s="13" t="n">
        <v>45422</v>
      </c>
      <c r="D151" s="13" t="n">
        <v>45452</v>
      </c>
      <c r="E151" t="inlineStr">
        <is>
          <t>EUR</t>
        </is>
      </c>
      <c r="F151" t="n">
        <v>16927.59</v>
      </c>
      <c r="G151" t="inlineStr">
        <is>
          <t>Open</t>
        </is>
      </c>
    </row>
    <row r="152">
      <c r="A152" t="n">
        <v>9150</v>
      </c>
      <c r="B152" t="inlineStr">
        <is>
          <t>Vend_C</t>
        </is>
      </c>
      <c r="C152" s="13" t="n">
        <v>45342</v>
      </c>
      <c r="D152" s="13" t="n">
        <v>45402</v>
      </c>
      <c r="E152" t="inlineStr">
        <is>
          <t>EUR</t>
        </is>
      </c>
      <c r="F152" t="n">
        <v>6331.22</v>
      </c>
      <c r="G152" t="inlineStr">
        <is>
          <t>Open</t>
        </is>
      </c>
    </row>
    <row r="153">
      <c r="A153" t="n">
        <v>9151</v>
      </c>
      <c r="B153" t="inlineStr">
        <is>
          <t>Vend_B</t>
        </is>
      </c>
      <c r="C153" s="13" t="n">
        <v>45579</v>
      </c>
      <c r="D153" s="13" t="n">
        <v>45639</v>
      </c>
      <c r="E153" t="inlineStr">
        <is>
          <t>EUR</t>
        </is>
      </c>
      <c r="F153" t="n">
        <v>9664.02</v>
      </c>
      <c r="G153" t="inlineStr">
        <is>
          <t>Overdue</t>
        </is>
      </c>
    </row>
    <row r="154">
      <c r="A154" t="n">
        <v>9152</v>
      </c>
      <c r="B154" t="inlineStr">
        <is>
          <t>Vend_C</t>
        </is>
      </c>
      <c r="C154" s="13" t="n">
        <v>45310</v>
      </c>
      <c r="D154" s="13" t="n">
        <v>45370</v>
      </c>
      <c r="E154" t="inlineStr">
        <is>
          <t>EUR</t>
        </is>
      </c>
      <c r="F154" t="n">
        <v>5938.42</v>
      </c>
      <c r="G154" t="inlineStr">
        <is>
          <t>Paid</t>
        </is>
      </c>
      <c r="H154" s="13" t="n">
        <v>45378</v>
      </c>
    </row>
    <row r="155">
      <c r="A155" t="n">
        <v>9153</v>
      </c>
      <c r="B155" t="inlineStr">
        <is>
          <t>Vend_B</t>
        </is>
      </c>
      <c r="C155" s="13" t="n">
        <v>45391</v>
      </c>
      <c r="D155" s="13" t="n">
        <v>45451</v>
      </c>
      <c r="E155" t="inlineStr">
        <is>
          <t>EUR</t>
        </is>
      </c>
      <c r="F155" t="n">
        <v>7762.94</v>
      </c>
      <c r="G155" t="inlineStr">
        <is>
          <t>Open</t>
        </is>
      </c>
    </row>
    <row r="156">
      <c r="A156" t="n">
        <v>9154</v>
      </c>
      <c r="B156" t="inlineStr">
        <is>
          <t>Vend_A</t>
        </is>
      </c>
      <c r="C156" s="13" t="n">
        <v>45464</v>
      </c>
      <c r="D156" s="13" t="n">
        <v>45494</v>
      </c>
      <c r="E156" t="inlineStr">
        <is>
          <t>EUR</t>
        </is>
      </c>
      <c r="F156" t="n">
        <v>2603.39</v>
      </c>
      <c r="G156" t="inlineStr">
        <is>
          <t>Paid</t>
        </is>
      </c>
      <c r="H156" s="13" t="n">
        <v>45517</v>
      </c>
    </row>
    <row r="157">
      <c r="A157" t="n">
        <v>9155</v>
      </c>
      <c r="B157" t="inlineStr">
        <is>
          <t>Vend_B</t>
        </is>
      </c>
      <c r="C157" s="13" t="n">
        <v>45311</v>
      </c>
      <c r="D157" s="13" t="n">
        <v>45341</v>
      </c>
      <c r="E157" t="inlineStr">
        <is>
          <t>EUR</t>
        </is>
      </c>
      <c r="F157" t="n">
        <v>5983</v>
      </c>
      <c r="G157" t="inlineStr">
        <is>
          <t>Paid</t>
        </is>
      </c>
      <c r="H157" s="13" t="n">
        <v>45350</v>
      </c>
    </row>
    <row r="158">
      <c r="A158" t="n">
        <v>9156</v>
      </c>
      <c r="B158" t="inlineStr">
        <is>
          <t>Vend_B</t>
        </is>
      </c>
      <c r="C158" s="13" t="n">
        <v>45322</v>
      </c>
      <c r="D158" s="13" t="n">
        <v>45352</v>
      </c>
      <c r="E158" t="inlineStr">
        <is>
          <t>EUR</t>
        </is>
      </c>
      <c r="F158" t="n">
        <v>7376.18</v>
      </c>
      <c r="G158" t="inlineStr">
        <is>
          <t>Paid</t>
        </is>
      </c>
      <c r="H158" s="13" t="n">
        <v>45375</v>
      </c>
    </row>
    <row r="159">
      <c r="A159" t="n">
        <v>9157</v>
      </c>
      <c r="B159" t="inlineStr">
        <is>
          <t>Vend_A</t>
        </is>
      </c>
      <c r="C159" s="13" t="n">
        <v>45361</v>
      </c>
      <c r="D159" s="13" t="n">
        <v>45421</v>
      </c>
      <c r="E159" t="inlineStr">
        <is>
          <t>EUR</t>
        </is>
      </c>
      <c r="F159" t="n">
        <v>1972.45</v>
      </c>
      <c r="G159" t="inlineStr">
        <is>
          <t>Paid</t>
        </is>
      </c>
      <c r="H159" s="13" t="n">
        <v>45443</v>
      </c>
    </row>
    <row r="160">
      <c r="A160" t="n">
        <v>9158</v>
      </c>
      <c r="B160" t="inlineStr">
        <is>
          <t>Vend_B</t>
        </is>
      </c>
      <c r="C160" s="13" t="n">
        <v>45315</v>
      </c>
      <c r="D160" s="13" t="n">
        <v>45345</v>
      </c>
      <c r="E160" t="inlineStr">
        <is>
          <t>EUR</t>
        </is>
      </c>
      <c r="F160" t="n">
        <v>2216.24</v>
      </c>
      <c r="G160" t="inlineStr">
        <is>
          <t>Paid</t>
        </is>
      </c>
      <c r="H160" s="13" t="n">
        <v>45369</v>
      </c>
    </row>
    <row r="161">
      <c r="A161" t="n">
        <v>9159</v>
      </c>
      <c r="B161" t="inlineStr">
        <is>
          <t>Vend_C</t>
        </is>
      </c>
      <c r="C161" s="13" t="n">
        <v>45583</v>
      </c>
      <c r="D161" s="13" t="n">
        <v>45613</v>
      </c>
      <c r="E161" t="inlineStr">
        <is>
          <t>EUR</t>
        </is>
      </c>
      <c r="F161" t="n">
        <v>9234.799999999999</v>
      </c>
      <c r="G161" t="inlineStr">
        <is>
          <t>Paid</t>
        </is>
      </c>
      <c r="H161" s="13" t="n">
        <v>45623</v>
      </c>
    </row>
    <row r="162">
      <c r="A162" t="n">
        <v>9160</v>
      </c>
      <c r="B162" t="inlineStr">
        <is>
          <t>Vend_C</t>
        </is>
      </c>
      <c r="C162" s="13" t="n">
        <v>45634</v>
      </c>
      <c r="D162" s="13" t="n">
        <v>45694</v>
      </c>
      <c r="E162" t="inlineStr">
        <is>
          <t>EUR</t>
        </is>
      </c>
      <c r="F162" t="n">
        <v>18779.17</v>
      </c>
      <c r="G162" t="inlineStr">
        <is>
          <t>Paid</t>
        </is>
      </c>
      <c r="H162" s="13" t="n">
        <v>45703</v>
      </c>
    </row>
    <row r="163">
      <c r="A163" t="n">
        <v>9161</v>
      </c>
      <c r="B163" t="inlineStr">
        <is>
          <t>Vend_C</t>
        </is>
      </c>
      <c r="C163" s="13" t="n">
        <v>45537</v>
      </c>
      <c r="D163" s="13" t="n">
        <v>45567</v>
      </c>
      <c r="E163" t="inlineStr">
        <is>
          <t>EUR</t>
        </is>
      </c>
      <c r="F163" t="n">
        <v>4962.49</v>
      </c>
      <c r="G163" t="inlineStr">
        <is>
          <t>Paid</t>
        </is>
      </c>
      <c r="H163" s="13" t="n">
        <v>45567</v>
      </c>
    </row>
    <row r="164">
      <c r="A164" t="n">
        <v>9162</v>
      </c>
      <c r="B164" t="inlineStr">
        <is>
          <t>Vend_A</t>
        </is>
      </c>
      <c r="C164" s="13" t="n">
        <v>45568</v>
      </c>
      <c r="D164" s="13" t="n">
        <v>45628</v>
      </c>
      <c r="E164" t="inlineStr">
        <is>
          <t>EUR</t>
        </is>
      </c>
      <c r="F164" t="n">
        <v>10556.02</v>
      </c>
      <c r="G164" t="inlineStr">
        <is>
          <t>Paid</t>
        </is>
      </c>
      <c r="H164" s="13" t="n">
        <v>45643</v>
      </c>
    </row>
    <row r="165">
      <c r="A165" t="n">
        <v>9163</v>
      </c>
      <c r="B165" t="inlineStr">
        <is>
          <t>Vend_C</t>
        </is>
      </c>
      <c r="C165" s="13" t="n">
        <v>45381</v>
      </c>
      <c r="D165" s="13" t="n">
        <v>45411</v>
      </c>
      <c r="E165" t="inlineStr">
        <is>
          <t>EUR</t>
        </is>
      </c>
      <c r="F165" t="n">
        <v>15109.82</v>
      </c>
      <c r="G165" t="inlineStr">
        <is>
          <t>Paid</t>
        </is>
      </c>
      <c r="H165" s="13" t="n">
        <v>45414</v>
      </c>
    </row>
    <row r="166">
      <c r="A166" t="n">
        <v>9164</v>
      </c>
      <c r="B166" t="inlineStr">
        <is>
          <t>Vend_A</t>
        </is>
      </c>
      <c r="C166" s="13" t="n">
        <v>45653</v>
      </c>
      <c r="D166" s="13" t="n">
        <v>45713</v>
      </c>
      <c r="E166" t="inlineStr">
        <is>
          <t>EUR</t>
        </is>
      </c>
      <c r="F166" t="n">
        <v>5229.93</v>
      </c>
      <c r="G166" t="inlineStr">
        <is>
          <t>Paid</t>
        </is>
      </c>
      <c r="H166" s="13" t="n">
        <v>45738</v>
      </c>
    </row>
    <row r="167">
      <c r="A167" t="n">
        <v>9165</v>
      </c>
      <c r="B167" t="inlineStr">
        <is>
          <t>Vend_C</t>
        </is>
      </c>
      <c r="C167" s="13" t="n">
        <v>45598</v>
      </c>
      <c r="D167" s="13" t="n">
        <v>45658</v>
      </c>
      <c r="E167" t="inlineStr">
        <is>
          <t>EUR</t>
        </is>
      </c>
      <c r="F167" t="n">
        <v>3152.73</v>
      </c>
      <c r="G167" t="inlineStr">
        <is>
          <t>Paid</t>
        </is>
      </c>
      <c r="H167" s="13" t="n">
        <v>45676</v>
      </c>
    </row>
    <row r="168">
      <c r="A168" t="n">
        <v>9166</v>
      </c>
      <c r="B168" t="inlineStr">
        <is>
          <t>Vend_C</t>
        </is>
      </c>
      <c r="C168" s="13" t="n">
        <v>45514</v>
      </c>
      <c r="D168" s="13" t="n">
        <v>45544</v>
      </c>
      <c r="E168" t="inlineStr">
        <is>
          <t>EUR</t>
        </is>
      </c>
      <c r="F168" t="n">
        <v>9570.23</v>
      </c>
      <c r="G168" t="inlineStr">
        <is>
          <t>Paid</t>
        </is>
      </c>
      <c r="H168" s="13" t="n">
        <v>45556</v>
      </c>
    </row>
    <row r="169">
      <c r="A169" t="n">
        <v>9167</v>
      </c>
      <c r="B169" t="inlineStr">
        <is>
          <t>Vend_B</t>
        </is>
      </c>
      <c r="C169" s="13" t="n">
        <v>45436</v>
      </c>
      <c r="D169" s="13" t="n">
        <v>45496</v>
      </c>
      <c r="E169" t="inlineStr">
        <is>
          <t>EUR</t>
        </is>
      </c>
      <c r="F169" t="n">
        <v>8417.059999999999</v>
      </c>
      <c r="G169" t="inlineStr">
        <is>
          <t>Open</t>
        </is>
      </c>
    </row>
    <row r="170">
      <c r="A170" t="n">
        <v>9168</v>
      </c>
      <c r="B170" t="inlineStr">
        <is>
          <t>Vend_A</t>
        </is>
      </c>
      <c r="C170" s="13" t="n">
        <v>45603</v>
      </c>
      <c r="D170" s="13" t="n">
        <v>45633</v>
      </c>
      <c r="E170" t="inlineStr">
        <is>
          <t>EUR</t>
        </is>
      </c>
      <c r="F170" t="n">
        <v>4477.12</v>
      </c>
      <c r="G170" t="inlineStr">
        <is>
          <t>Paid</t>
        </is>
      </c>
      <c r="H170" s="13" t="n">
        <v>45637</v>
      </c>
    </row>
    <row r="171">
      <c r="A171" t="n">
        <v>9169</v>
      </c>
      <c r="B171" t="inlineStr">
        <is>
          <t>Vend_C</t>
        </is>
      </c>
      <c r="C171" s="13" t="n">
        <v>45657</v>
      </c>
      <c r="D171" s="13" t="n">
        <v>45687</v>
      </c>
      <c r="E171" t="inlineStr">
        <is>
          <t>EUR</t>
        </is>
      </c>
      <c r="F171" t="n">
        <v>12198.84</v>
      </c>
      <c r="G171" t="inlineStr">
        <is>
          <t>Open</t>
        </is>
      </c>
    </row>
    <row r="172">
      <c r="A172" t="n">
        <v>9170</v>
      </c>
      <c r="B172" t="inlineStr">
        <is>
          <t>Vend_A</t>
        </is>
      </c>
      <c r="C172" s="13" t="n">
        <v>45510</v>
      </c>
      <c r="D172" s="13" t="n">
        <v>45540</v>
      </c>
      <c r="E172" t="inlineStr">
        <is>
          <t>EUR</t>
        </is>
      </c>
      <c r="F172" t="n">
        <v>2561.95</v>
      </c>
      <c r="G172" t="inlineStr">
        <is>
          <t>Paid</t>
        </is>
      </c>
      <c r="H172" s="13" t="n">
        <v>45547</v>
      </c>
    </row>
    <row r="173">
      <c r="A173" t="n">
        <v>9171</v>
      </c>
      <c r="B173" t="inlineStr">
        <is>
          <t>Vend_B</t>
        </is>
      </c>
      <c r="C173" s="13" t="n">
        <v>45375</v>
      </c>
      <c r="D173" s="13" t="n">
        <v>45405</v>
      </c>
      <c r="E173" t="inlineStr">
        <is>
          <t>EUR</t>
        </is>
      </c>
      <c r="F173" t="n">
        <v>1886.78</v>
      </c>
      <c r="G173" t="inlineStr">
        <is>
          <t>Paid</t>
        </is>
      </c>
      <c r="H173" s="13" t="n">
        <v>45417</v>
      </c>
    </row>
    <row r="174">
      <c r="A174" t="n">
        <v>9172</v>
      </c>
      <c r="B174" t="inlineStr">
        <is>
          <t>Vend_B</t>
        </is>
      </c>
      <c r="C174" s="13" t="n">
        <v>45435</v>
      </c>
      <c r="D174" s="13" t="n">
        <v>45495</v>
      </c>
      <c r="E174" t="inlineStr">
        <is>
          <t>EUR</t>
        </is>
      </c>
      <c r="F174" t="n">
        <v>7279.08</v>
      </c>
      <c r="G174" t="inlineStr">
        <is>
          <t>Paid</t>
        </is>
      </c>
      <c r="H174" s="13" t="n">
        <v>45506</v>
      </c>
    </row>
    <row r="175">
      <c r="A175" t="n">
        <v>9173</v>
      </c>
      <c r="B175" t="inlineStr">
        <is>
          <t>Vend_A</t>
        </is>
      </c>
      <c r="C175" s="13" t="n">
        <v>45618</v>
      </c>
      <c r="D175" s="13" t="n">
        <v>45678</v>
      </c>
      <c r="E175" t="inlineStr">
        <is>
          <t>EUR</t>
        </is>
      </c>
      <c r="F175" t="n">
        <v>3846.89</v>
      </c>
      <c r="G175" t="inlineStr">
        <is>
          <t>Paid</t>
        </is>
      </c>
      <c r="H175" s="13" t="n">
        <v>45687</v>
      </c>
    </row>
    <row r="176">
      <c r="A176" t="n">
        <v>9174</v>
      </c>
      <c r="B176" t="inlineStr">
        <is>
          <t>Vend_C</t>
        </is>
      </c>
      <c r="C176" s="13" t="n">
        <v>45327</v>
      </c>
      <c r="D176" s="13" t="n">
        <v>45357</v>
      </c>
      <c r="E176" t="inlineStr">
        <is>
          <t>EUR</t>
        </is>
      </c>
      <c r="F176" t="n">
        <v>10147.12</v>
      </c>
      <c r="G176" t="inlineStr">
        <is>
          <t>Paid</t>
        </is>
      </c>
      <c r="H176" s="13" t="n">
        <v>45362</v>
      </c>
    </row>
    <row r="177">
      <c r="A177" t="n">
        <v>9175</v>
      </c>
      <c r="B177" t="inlineStr">
        <is>
          <t>Vend_C</t>
        </is>
      </c>
      <c r="C177" s="13" t="n">
        <v>45636</v>
      </c>
      <c r="D177" s="13" t="n">
        <v>45666</v>
      </c>
      <c r="E177" t="inlineStr">
        <is>
          <t>EUR</t>
        </is>
      </c>
      <c r="F177" t="n">
        <v>578.99</v>
      </c>
      <c r="G177" t="inlineStr">
        <is>
          <t>Paid</t>
        </is>
      </c>
      <c r="H177" s="13" t="n">
        <v>45673</v>
      </c>
    </row>
    <row r="178">
      <c r="A178" t="n">
        <v>9176</v>
      </c>
      <c r="B178" t="inlineStr">
        <is>
          <t>Vend_B</t>
        </is>
      </c>
      <c r="C178" s="13" t="n">
        <v>45526</v>
      </c>
      <c r="D178" s="13" t="n">
        <v>45586</v>
      </c>
      <c r="E178" t="inlineStr">
        <is>
          <t>EUR</t>
        </is>
      </c>
      <c r="F178" t="n">
        <v>421.22</v>
      </c>
      <c r="G178" t="inlineStr">
        <is>
          <t>Open</t>
        </is>
      </c>
    </row>
    <row r="179">
      <c r="A179" t="n">
        <v>9177</v>
      </c>
      <c r="B179" t="inlineStr">
        <is>
          <t>Vend_A</t>
        </is>
      </c>
      <c r="C179" s="13" t="n">
        <v>45382</v>
      </c>
      <c r="D179" s="13" t="n">
        <v>45442</v>
      </c>
      <c r="E179" t="inlineStr">
        <is>
          <t>EUR</t>
        </is>
      </c>
      <c r="F179" t="n">
        <v>9225.139999999999</v>
      </c>
      <c r="G179" t="inlineStr">
        <is>
          <t>Paid</t>
        </is>
      </c>
      <c r="H179" s="13" t="n">
        <v>45445</v>
      </c>
    </row>
    <row r="180">
      <c r="A180" t="n">
        <v>9178</v>
      </c>
      <c r="B180" t="inlineStr">
        <is>
          <t>Vend_B</t>
        </is>
      </c>
      <c r="C180" s="13" t="n">
        <v>45522</v>
      </c>
      <c r="D180" s="13" t="n">
        <v>45552</v>
      </c>
      <c r="E180" t="inlineStr">
        <is>
          <t>EUR</t>
        </is>
      </c>
      <c r="F180" t="n">
        <v>6999.93</v>
      </c>
      <c r="G180" t="inlineStr">
        <is>
          <t>Paid</t>
        </is>
      </c>
      <c r="H180" s="13" t="n">
        <v>45565</v>
      </c>
    </row>
    <row r="181">
      <c r="A181" t="n">
        <v>9179</v>
      </c>
      <c r="B181" t="inlineStr">
        <is>
          <t>Vend_A</t>
        </is>
      </c>
      <c r="C181" s="13" t="n">
        <v>45441</v>
      </c>
      <c r="D181" s="13" t="n">
        <v>45471</v>
      </c>
      <c r="E181" t="inlineStr">
        <is>
          <t>EUR</t>
        </is>
      </c>
      <c r="F181" t="n">
        <v>12015.44</v>
      </c>
      <c r="G181" t="inlineStr">
        <is>
          <t>Paid</t>
        </is>
      </c>
      <c r="H181" s="13" t="n">
        <v>45482</v>
      </c>
    </row>
    <row r="182">
      <c r="A182" t="n">
        <v>9180</v>
      </c>
      <c r="B182" t="inlineStr">
        <is>
          <t>Vend_B</t>
        </is>
      </c>
      <c r="C182" s="13" t="n">
        <v>45462</v>
      </c>
      <c r="D182" s="13" t="n">
        <v>45522</v>
      </c>
      <c r="E182" t="inlineStr">
        <is>
          <t>EUR</t>
        </is>
      </c>
      <c r="F182" t="n">
        <v>4557.37</v>
      </c>
      <c r="G182" t="inlineStr">
        <is>
          <t>Paid</t>
        </is>
      </c>
      <c r="H182" s="13" t="n">
        <v>45535</v>
      </c>
    </row>
    <row r="183">
      <c r="A183" t="n">
        <v>9181</v>
      </c>
      <c r="B183" t="inlineStr">
        <is>
          <t>Vend_C</t>
        </is>
      </c>
      <c r="C183" s="13" t="n">
        <v>45331</v>
      </c>
      <c r="D183" s="13" t="n">
        <v>45391</v>
      </c>
      <c r="E183" t="inlineStr">
        <is>
          <t>EUR</t>
        </is>
      </c>
      <c r="F183" t="n">
        <v>11372.33</v>
      </c>
      <c r="G183" t="inlineStr">
        <is>
          <t>Paid</t>
        </is>
      </c>
      <c r="H183" s="13" t="n">
        <v>45416</v>
      </c>
    </row>
    <row r="184">
      <c r="A184" t="n">
        <v>9182</v>
      </c>
      <c r="B184" t="inlineStr">
        <is>
          <t>Vend_A</t>
        </is>
      </c>
      <c r="C184" s="13" t="n">
        <v>45375</v>
      </c>
      <c r="D184" s="13" t="n">
        <v>45405</v>
      </c>
      <c r="E184" t="inlineStr">
        <is>
          <t>EUR</t>
        </is>
      </c>
      <c r="F184" t="n">
        <v>1910.99</v>
      </c>
      <c r="G184" t="inlineStr">
        <is>
          <t>Paid</t>
        </is>
      </c>
      <c r="H184" s="13" t="n">
        <v>45429</v>
      </c>
    </row>
    <row r="185">
      <c r="A185" t="n">
        <v>9183</v>
      </c>
      <c r="B185" t="inlineStr">
        <is>
          <t>Vend_A</t>
        </is>
      </c>
      <c r="C185" s="13" t="n">
        <v>45327</v>
      </c>
      <c r="D185" s="13" t="n">
        <v>45357</v>
      </c>
      <c r="E185" t="inlineStr">
        <is>
          <t>EUR</t>
        </is>
      </c>
      <c r="F185" t="n">
        <v>9635.129999999999</v>
      </c>
      <c r="G185" t="inlineStr">
        <is>
          <t>Open</t>
        </is>
      </c>
    </row>
    <row r="186">
      <c r="A186" t="n">
        <v>9184</v>
      </c>
      <c r="B186" t="inlineStr">
        <is>
          <t>Vend_B</t>
        </is>
      </c>
      <c r="C186" s="13" t="n">
        <v>45449</v>
      </c>
      <c r="D186" s="13" t="n">
        <v>45479</v>
      </c>
      <c r="E186" t="inlineStr">
        <is>
          <t>EUR</t>
        </is>
      </c>
      <c r="F186" t="n">
        <v>9837.07</v>
      </c>
      <c r="G186" t="inlineStr">
        <is>
          <t>Open</t>
        </is>
      </c>
    </row>
    <row r="187">
      <c r="A187" t="n">
        <v>9185</v>
      </c>
      <c r="B187" t="inlineStr">
        <is>
          <t>Vend_A</t>
        </is>
      </c>
      <c r="C187" s="13" t="n">
        <v>45464</v>
      </c>
      <c r="D187" s="13" t="n">
        <v>45524</v>
      </c>
      <c r="E187" t="inlineStr">
        <is>
          <t>EUR</t>
        </is>
      </c>
      <c r="F187" t="n">
        <v>10734.27</v>
      </c>
      <c r="G187" t="inlineStr">
        <is>
          <t>Paid</t>
        </is>
      </c>
      <c r="H187" s="13" t="n">
        <v>45532</v>
      </c>
    </row>
    <row r="188">
      <c r="A188" t="n">
        <v>9186</v>
      </c>
      <c r="B188" t="inlineStr">
        <is>
          <t>Vend_A</t>
        </is>
      </c>
      <c r="C188" s="13" t="n">
        <v>45525</v>
      </c>
      <c r="D188" s="13" t="n">
        <v>45555</v>
      </c>
      <c r="E188" t="inlineStr">
        <is>
          <t>EUR</t>
        </is>
      </c>
      <c r="F188" t="n">
        <v>1289.31</v>
      </c>
      <c r="G188" t="inlineStr">
        <is>
          <t>Paid</t>
        </is>
      </c>
      <c r="H188" s="13" t="n">
        <v>45564</v>
      </c>
    </row>
    <row r="189">
      <c r="A189" t="n">
        <v>9187</v>
      </c>
      <c r="B189" t="inlineStr">
        <is>
          <t>Vend_A</t>
        </is>
      </c>
      <c r="C189" s="13" t="n">
        <v>45621</v>
      </c>
      <c r="D189" s="13" t="n">
        <v>45651</v>
      </c>
      <c r="E189" t="inlineStr">
        <is>
          <t>EUR</t>
        </is>
      </c>
      <c r="F189" t="n">
        <v>3584.55</v>
      </c>
      <c r="G189" t="inlineStr">
        <is>
          <t>Paid</t>
        </is>
      </c>
      <c r="H189" s="13" t="n">
        <v>45660</v>
      </c>
    </row>
    <row r="190">
      <c r="A190" t="n">
        <v>9188</v>
      </c>
      <c r="B190" t="inlineStr">
        <is>
          <t>Vend_A</t>
        </is>
      </c>
      <c r="C190" s="13" t="n">
        <v>45469</v>
      </c>
      <c r="D190" s="13" t="n">
        <v>45529</v>
      </c>
      <c r="E190" t="inlineStr">
        <is>
          <t>EUR</t>
        </is>
      </c>
      <c r="F190" t="n">
        <v>8265.5</v>
      </c>
      <c r="G190" t="inlineStr">
        <is>
          <t>Paid</t>
        </is>
      </c>
      <c r="H190" s="13" t="n">
        <v>45553</v>
      </c>
    </row>
    <row r="191">
      <c r="A191" t="n">
        <v>9189</v>
      </c>
      <c r="B191" t="inlineStr">
        <is>
          <t>Vend_A</t>
        </is>
      </c>
      <c r="C191" s="13" t="n">
        <v>45412</v>
      </c>
      <c r="D191" s="13" t="n">
        <v>45472</v>
      </c>
      <c r="E191" t="inlineStr">
        <is>
          <t>EUR</t>
        </is>
      </c>
      <c r="F191" t="n">
        <v>4670.55</v>
      </c>
      <c r="G191" t="inlineStr">
        <is>
          <t>Paid</t>
        </is>
      </c>
      <c r="H191" s="13" t="n">
        <v>45481</v>
      </c>
    </row>
    <row r="192">
      <c r="A192" t="n">
        <v>9190</v>
      </c>
      <c r="B192" t="inlineStr">
        <is>
          <t>Vend_A</t>
        </is>
      </c>
      <c r="C192" s="13" t="n">
        <v>45442</v>
      </c>
      <c r="D192" s="13" t="n">
        <v>45472</v>
      </c>
      <c r="E192" t="inlineStr">
        <is>
          <t>EUR</t>
        </is>
      </c>
      <c r="F192" t="n">
        <v>5880.26</v>
      </c>
      <c r="G192" t="inlineStr">
        <is>
          <t>Paid</t>
        </is>
      </c>
      <c r="H192" s="13" t="n">
        <v>45482</v>
      </c>
    </row>
    <row r="193">
      <c r="A193" t="n">
        <v>9191</v>
      </c>
      <c r="B193" t="inlineStr">
        <is>
          <t>Vend_A</t>
        </is>
      </c>
      <c r="C193" s="13" t="n">
        <v>45626</v>
      </c>
      <c r="D193" s="13" t="n">
        <v>45656</v>
      </c>
      <c r="E193" t="inlineStr">
        <is>
          <t>EUR</t>
        </is>
      </c>
      <c r="F193" t="n">
        <v>5550.18</v>
      </c>
      <c r="G193" t="inlineStr">
        <is>
          <t>Open</t>
        </is>
      </c>
    </row>
    <row r="194">
      <c r="A194" t="n">
        <v>9192</v>
      </c>
      <c r="B194" t="inlineStr">
        <is>
          <t>Vend_A</t>
        </is>
      </c>
      <c r="C194" s="13" t="n">
        <v>45344</v>
      </c>
      <c r="D194" s="13" t="n">
        <v>45374</v>
      </c>
      <c r="E194" t="inlineStr">
        <is>
          <t>EUR</t>
        </is>
      </c>
      <c r="F194" t="n">
        <v>2095.48</v>
      </c>
      <c r="G194" t="inlineStr">
        <is>
          <t>Paid</t>
        </is>
      </c>
      <c r="H194" s="13" t="n">
        <v>45389</v>
      </c>
    </row>
    <row r="195">
      <c r="A195" t="n">
        <v>9193</v>
      </c>
      <c r="B195" t="inlineStr">
        <is>
          <t>Vend_A</t>
        </is>
      </c>
      <c r="C195" s="13" t="n">
        <v>45547</v>
      </c>
      <c r="D195" s="13" t="n">
        <v>45607</v>
      </c>
      <c r="E195" t="inlineStr">
        <is>
          <t>EUR</t>
        </is>
      </c>
      <c r="F195" t="n">
        <v>8846.959999999999</v>
      </c>
      <c r="G195" t="inlineStr">
        <is>
          <t>Paid</t>
        </is>
      </c>
      <c r="H195" s="13" t="n">
        <v>45607</v>
      </c>
    </row>
    <row r="196">
      <c r="A196" t="n">
        <v>9194</v>
      </c>
      <c r="B196" t="inlineStr">
        <is>
          <t>Vend_B</t>
        </is>
      </c>
      <c r="C196" s="13" t="n">
        <v>45335</v>
      </c>
      <c r="D196" s="13" t="n">
        <v>45365</v>
      </c>
      <c r="E196" t="inlineStr">
        <is>
          <t>EUR</t>
        </is>
      </c>
      <c r="F196" t="n">
        <v>4619.53</v>
      </c>
      <c r="G196" t="inlineStr">
        <is>
          <t>Paid</t>
        </is>
      </c>
      <c r="H196" s="13" t="n">
        <v>45380</v>
      </c>
    </row>
    <row r="197">
      <c r="A197" t="n">
        <v>9195</v>
      </c>
      <c r="B197" t="inlineStr">
        <is>
          <t>Vend_C</t>
        </is>
      </c>
      <c r="C197" s="13" t="n">
        <v>45468</v>
      </c>
      <c r="D197" s="13" t="n">
        <v>45498</v>
      </c>
      <c r="E197" t="inlineStr">
        <is>
          <t>EUR</t>
        </is>
      </c>
      <c r="F197" t="n">
        <v>12189.27</v>
      </c>
      <c r="G197" t="inlineStr">
        <is>
          <t>Paid</t>
        </is>
      </c>
      <c r="H197" s="13" t="n">
        <v>45511</v>
      </c>
    </row>
    <row r="198">
      <c r="A198" t="n">
        <v>9196</v>
      </c>
      <c r="B198" t="inlineStr">
        <is>
          <t>Vend_A</t>
        </is>
      </c>
      <c r="C198" s="13" t="n">
        <v>45303</v>
      </c>
      <c r="D198" s="13" t="n">
        <v>45333</v>
      </c>
      <c r="E198" t="inlineStr">
        <is>
          <t>EUR</t>
        </is>
      </c>
      <c r="F198" t="n">
        <v>1364.34</v>
      </c>
      <c r="G198" t="inlineStr">
        <is>
          <t>Open</t>
        </is>
      </c>
    </row>
    <row r="199">
      <c r="A199" t="n">
        <v>9197</v>
      </c>
      <c r="B199" t="inlineStr">
        <is>
          <t>Vend_A</t>
        </is>
      </c>
      <c r="C199" s="13" t="n">
        <v>45629</v>
      </c>
      <c r="D199" s="13" t="n">
        <v>45659</v>
      </c>
      <c r="E199" t="inlineStr">
        <is>
          <t>EUR</t>
        </is>
      </c>
      <c r="F199" t="n">
        <v>4926.07</v>
      </c>
      <c r="G199" t="inlineStr">
        <is>
          <t>Open</t>
        </is>
      </c>
    </row>
    <row r="200">
      <c r="A200" t="n">
        <v>9198</v>
      </c>
      <c r="B200" t="inlineStr">
        <is>
          <t>Vend_A</t>
        </is>
      </c>
      <c r="C200" s="13" t="n">
        <v>45303</v>
      </c>
      <c r="D200" s="13" t="n">
        <v>45363</v>
      </c>
      <c r="E200" t="inlineStr">
        <is>
          <t>EUR</t>
        </is>
      </c>
      <c r="F200" t="n">
        <v>4803.28</v>
      </c>
      <c r="G200" t="inlineStr">
        <is>
          <t>Paid</t>
        </is>
      </c>
      <c r="H200" s="13" t="n">
        <v>45381</v>
      </c>
    </row>
    <row r="201">
      <c r="A201" t="n">
        <v>9199</v>
      </c>
      <c r="B201" t="inlineStr">
        <is>
          <t>Vend_B</t>
        </is>
      </c>
      <c r="C201" s="13" t="n">
        <v>45467</v>
      </c>
      <c r="D201" s="13" t="n">
        <v>45527</v>
      </c>
      <c r="E201" t="inlineStr">
        <is>
          <t>EUR</t>
        </is>
      </c>
      <c r="F201" t="n">
        <v>3653.28</v>
      </c>
      <c r="G201" t="inlineStr">
        <is>
          <t>Paid</t>
        </is>
      </c>
      <c r="H201" s="13" t="n">
        <v>45527</v>
      </c>
    </row>
    <row r="202">
      <c r="A202" t="n">
        <v>9200</v>
      </c>
      <c r="B202" t="inlineStr">
        <is>
          <t>Vend_C</t>
        </is>
      </c>
      <c r="C202" s="13" t="n">
        <v>45575</v>
      </c>
      <c r="D202" s="13" t="n">
        <v>45635</v>
      </c>
      <c r="E202" t="inlineStr">
        <is>
          <t>EUR</t>
        </is>
      </c>
      <c r="F202" t="n">
        <v>2484.68</v>
      </c>
      <c r="G202" t="inlineStr">
        <is>
          <t>Paid</t>
        </is>
      </c>
      <c r="H202" s="13" t="n">
        <v>45659</v>
      </c>
    </row>
    <row r="203">
      <c r="A203" t="n">
        <v>9201</v>
      </c>
      <c r="B203" t="inlineStr">
        <is>
          <t>Vend_C</t>
        </is>
      </c>
      <c r="C203" s="13" t="n">
        <v>45446</v>
      </c>
      <c r="D203" s="13" t="n">
        <v>45476</v>
      </c>
      <c r="E203" t="inlineStr">
        <is>
          <t>EUR</t>
        </is>
      </c>
      <c r="F203" t="n">
        <v>1735.88</v>
      </c>
      <c r="G203" t="inlineStr">
        <is>
          <t>Paid</t>
        </is>
      </c>
      <c r="H203" s="13" t="n">
        <v>45487</v>
      </c>
    </row>
    <row r="204">
      <c r="A204" t="n">
        <v>9202</v>
      </c>
      <c r="B204" t="inlineStr">
        <is>
          <t>Vend_C</t>
        </is>
      </c>
      <c r="C204" s="13" t="n">
        <v>45384</v>
      </c>
      <c r="D204" s="13" t="n">
        <v>45414</v>
      </c>
      <c r="E204" t="inlineStr">
        <is>
          <t>EUR</t>
        </is>
      </c>
      <c r="F204" t="n">
        <v>5125.01</v>
      </c>
      <c r="G204" t="inlineStr">
        <is>
          <t>Paid</t>
        </is>
      </c>
      <c r="H204" s="13" t="n">
        <v>45429</v>
      </c>
    </row>
    <row r="205">
      <c r="A205" t="n">
        <v>9203</v>
      </c>
      <c r="B205" t="inlineStr">
        <is>
          <t>Vend_A</t>
        </is>
      </c>
      <c r="C205" s="13" t="n">
        <v>45431</v>
      </c>
      <c r="D205" s="13" t="n">
        <v>45491</v>
      </c>
      <c r="E205" t="inlineStr">
        <is>
          <t>EUR</t>
        </is>
      </c>
      <c r="F205" t="n">
        <v>7365.6</v>
      </c>
      <c r="G205" t="inlineStr">
        <is>
          <t>Paid</t>
        </is>
      </c>
      <c r="H205" s="13" t="n">
        <v>45498</v>
      </c>
    </row>
    <row r="206">
      <c r="A206" t="n">
        <v>9204</v>
      </c>
      <c r="B206" t="inlineStr">
        <is>
          <t>Vend_B</t>
        </is>
      </c>
      <c r="C206" s="13" t="n">
        <v>45330</v>
      </c>
      <c r="D206" s="13" t="n">
        <v>45390</v>
      </c>
      <c r="E206" t="inlineStr">
        <is>
          <t>EUR</t>
        </is>
      </c>
      <c r="F206" t="n">
        <v>13614.94</v>
      </c>
      <c r="G206" t="inlineStr">
        <is>
          <t>Paid</t>
        </is>
      </c>
      <c r="H206" s="13" t="n">
        <v>45392</v>
      </c>
    </row>
    <row r="207">
      <c r="A207" t="n">
        <v>9205</v>
      </c>
      <c r="B207" t="inlineStr">
        <is>
          <t>Vend_B</t>
        </is>
      </c>
      <c r="C207" s="13" t="n">
        <v>45454</v>
      </c>
      <c r="D207" s="13" t="n">
        <v>45514</v>
      </c>
      <c r="E207" t="inlineStr">
        <is>
          <t>EUR</t>
        </is>
      </c>
      <c r="F207" t="n">
        <v>5856.83</v>
      </c>
      <c r="G207" t="inlineStr">
        <is>
          <t>Paid</t>
        </is>
      </c>
      <c r="H207" s="13" t="n">
        <v>45515</v>
      </c>
    </row>
    <row r="208">
      <c r="A208" t="n">
        <v>9206</v>
      </c>
      <c r="B208" t="inlineStr">
        <is>
          <t>Vend_B</t>
        </is>
      </c>
      <c r="C208" s="13" t="n">
        <v>45339</v>
      </c>
      <c r="D208" s="13" t="n">
        <v>45369</v>
      </c>
      <c r="E208" t="inlineStr">
        <is>
          <t>EUR</t>
        </is>
      </c>
      <c r="F208" t="n">
        <v>2884.47</v>
      </c>
      <c r="G208" t="inlineStr">
        <is>
          <t>Paid</t>
        </is>
      </c>
      <c r="H208" s="13" t="n">
        <v>45379</v>
      </c>
    </row>
    <row r="209">
      <c r="A209" t="n">
        <v>9207</v>
      </c>
      <c r="B209" t="inlineStr">
        <is>
          <t>Vend_B</t>
        </is>
      </c>
      <c r="C209" s="13" t="n">
        <v>45523</v>
      </c>
      <c r="D209" s="13" t="n">
        <v>45583</v>
      </c>
      <c r="E209" t="inlineStr">
        <is>
          <t>EUR</t>
        </is>
      </c>
      <c r="F209" t="n">
        <v>14345.02</v>
      </c>
      <c r="G209" t="inlineStr">
        <is>
          <t>Paid</t>
        </is>
      </c>
      <c r="H209" s="13" t="n">
        <v>45607</v>
      </c>
    </row>
    <row r="210">
      <c r="A210" t="n">
        <v>9208</v>
      </c>
      <c r="B210" t="inlineStr">
        <is>
          <t>Vend_A</t>
        </is>
      </c>
      <c r="C210" s="13" t="n">
        <v>45469</v>
      </c>
      <c r="D210" s="13" t="n">
        <v>45529</v>
      </c>
      <c r="E210" t="inlineStr">
        <is>
          <t>USD</t>
        </is>
      </c>
      <c r="F210" t="n">
        <v>9108.32</v>
      </c>
      <c r="G210" t="inlineStr">
        <is>
          <t>Paid</t>
        </is>
      </c>
      <c r="H210" s="13" t="n">
        <v>45551</v>
      </c>
    </row>
    <row r="211">
      <c r="A211" t="n">
        <v>9209</v>
      </c>
      <c r="B211" t="inlineStr">
        <is>
          <t>Vend_B</t>
        </is>
      </c>
      <c r="C211" s="13" t="n">
        <v>45636</v>
      </c>
      <c r="D211" s="13" t="n">
        <v>45666</v>
      </c>
      <c r="E211" t="inlineStr">
        <is>
          <t>EUR</t>
        </is>
      </c>
      <c r="F211" t="n">
        <v>2258.89</v>
      </c>
      <c r="G211" t="inlineStr">
        <is>
          <t>Paid</t>
        </is>
      </c>
      <c r="H211" s="13" t="n">
        <v>45674</v>
      </c>
    </row>
    <row r="212">
      <c r="A212" t="n">
        <v>9210</v>
      </c>
      <c r="B212" t="inlineStr">
        <is>
          <t>Vend_C</t>
        </is>
      </c>
      <c r="C212" s="13" t="n">
        <v>45493</v>
      </c>
      <c r="D212" s="13" t="n">
        <v>45523</v>
      </c>
      <c r="E212" t="inlineStr">
        <is>
          <t>EUR</t>
        </is>
      </c>
      <c r="F212" t="n">
        <v>6498.67</v>
      </c>
      <c r="G212" t="inlineStr">
        <is>
          <t>Paid</t>
        </is>
      </c>
      <c r="H212" s="13" t="n">
        <v>45534</v>
      </c>
    </row>
    <row r="213">
      <c r="A213" t="n">
        <v>9211</v>
      </c>
      <c r="B213" t="inlineStr">
        <is>
          <t>Vend_C</t>
        </is>
      </c>
      <c r="C213" s="13" t="n">
        <v>45617</v>
      </c>
      <c r="D213" s="13" t="n">
        <v>45647</v>
      </c>
      <c r="E213" t="inlineStr">
        <is>
          <t>EUR</t>
        </is>
      </c>
      <c r="F213" t="n">
        <v>6646.91</v>
      </c>
      <c r="G213" t="inlineStr">
        <is>
          <t>Paid</t>
        </is>
      </c>
      <c r="H213" s="13" t="n">
        <v>45649</v>
      </c>
    </row>
    <row r="214">
      <c r="A214" t="n">
        <v>9212</v>
      </c>
      <c r="B214" t="inlineStr">
        <is>
          <t>Vend_A</t>
        </is>
      </c>
      <c r="C214" s="13" t="n">
        <v>45616</v>
      </c>
      <c r="D214" s="13" t="n">
        <v>45646</v>
      </c>
      <c r="E214" t="inlineStr">
        <is>
          <t>EUR</t>
        </is>
      </c>
      <c r="F214" t="n">
        <v>11717.81</v>
      </c>
      <c r="G214" t="inlineStr">
        <is>
          <t>Paid</t>
        </is>
      </c>
      <c r="H214" s="13" t="n">
        <v>45649</v>
      </c>
    </row>
    <row r="215">
      <c r="A215" t="n">
        <v>9213</v>
      </c>
      <c r="B215" t="inlineStr">
        <is>
          <t>Vend_A</t>
        </is>
      </c>
      <c r="C215" s="13" t="n">
        <v>45647</v>
      </c>
      <c r="D215" s="13" t="n">
        <v>45677</v>
      </c>
      <c r="E215" t="inlineStr">
        <is>
          <t>EUR</t>
        </is>
      </c>
      <c r="F215" t="n">
        <v>3072.02</v>
      </c>
      <c r="G215" t="inlineStr">
        <is>
          <t>Open</t>
        </is>
      </c>
    </row>
    <row r="216">
      <c r="A216" t="n">
        <v>9214</v>
      </c>
      <c r="B216" t="inlineStr">
        <is>
          <t>Vend_A</t>
        </is>
      </c>
      <c r="C216" s="13" t="n">
        <v>45653</v>
      </c>
      <c r="D216" s="13" t="n">
        <v>45713</v>
      </c>
      <c r="E216" t="inlineStr">
        <is>
          <t>EUR</t>
        </is>
      </c>
      <c r="F216" t="n">
        <v>8259.5</v>
      </c>
      <c r="G216" t="inlineStr">
        <is>
          <t>Paid</t>
        </is>
      </c>
      <c r="H216" s="13" t="n">
        <v>45720</v>
      </c>
    </row>
    <row r="217">
      <c r="A217" t="n">
        <v>9215</v>
      </c>
      <c r="B217" t="inlineStr">
        <is>
          <t>Vend_C</t>
        </is>
      </c>
      <c r="C217" s="13" t="n">
        <v>45355</v>
      </c>
      <c r="D217" s="13" t="n">
        <v>45415</v>
      </c>
      <c r="E217" t="inlineStr">
        <is>
          <t>JPY</t>
        </is>
      </c>
      <c r="F217" t="n">
        <v>3593.01</v>
      </c>
      <c r="G217" t="inlineStr">
        <is>
          <t>Open</t>
        </is>
      </c>
    </row>
    <row r="218">
      <c r="A218" t="n">
        <v>9216</v>
      </c>
      <c r="B218" t="inlineStr">
        <is>
          <t>Vend_A</t>
        </is>
      </c>
      <c r="C218" s="13" t="n">
        <v>45311</v>
      </c>
      <c r="D218" s="13" t="n">
        <v>45341</v>
      </c>
      <c r="E218" t="inlineStr">
        <is>
          <t>EUR</t>
        </is>
      </c>
      <c r="F218" t="n">
        <v>5385.2</v>
      </c>
      <c r="G218" t="inlineStr">
        <is>
          <t>Open</t>
        </is>
      </c>
    </row>
    <row r="219">
      <c r="A219" t="n">
        <v>9217</v>
      </c>
      <c r="B219" t="inlineStr">
        <is>
          <t>Vend_C</t>
        </is>
      </c>
      <c r="C219" s="13" t="n">
        <v>45419</v>
      </c>
      <c r="D219" s="13" t="n">
        <v>45449</v>
      </c>
      <c r="E219" t="inlineStr">
        <is>
          <t>JPY</t>
        </is>
      </c>
      <c r="F219" t="n">
        <v>3210.5</v>
      </c>
      <c r="G219" t="inlineStr">
        <is>
          <t>Paid</t>
        </is>
      </c>
      <c r="H219" s="13" t="n">
        <v>45451</v>
      </c>
    </row>
    <row r="220">
      <c r="A220" t="n">
        <v>9218</v>
      </c>
      <c r="B220" t="inlineStr">
        <is>
          <t>Vend_C</t>
        </is>
      </c>
      <c r="C220" s="13" t="n">
        <v>45494</v>
      </c>
      <c r="D220" s="13" t="n">
        <v>45554</v>
      </c>
      <c r="E220" t="inlineStr">
        <is>
          <t>EUR</t>
        </is>
      </c>
      <c r="F220" t="n">
        <v>8426.98</v>
      </c>
      <c r="G220" t="inlineStr">
        <is>
          <t>Paid</t>
        </is>
      </c>
      <c r="H220" s="13" t="n">
        <v>45568</v>
      </c>
    </row>
    <row r="221">
      <c r="A221" t="n">
        <v>9219</v>
      </c>
      <c r="B221" t="inlineStr">
        <is>
          <t>Vend_B</t>
        </is>
      </c>
      <c r="C221" s="13" t="n">
        <v>45592</v>
      </c>
      <c r="D221" s="13" t="n">
        <v>45652</v>
      </c>
      <c r="E221" t="inlineStr">
        <is>
          <t>EUR</t>
        </is>
      </c>
      <c r="F221" t="n">
        <v>16310.93</v>
      </c>
      <c r="G221" t="inlineStr">
        <is>
          <t>Paid</t>
        </is>
      </c>
      <c r="H221" s="13" t="n">
        <v>45663</v>
      </c>
    </row>
    <row r="222">
      <c r="A222" t="n">
        <v>9220</v>
      </c>
      <c r="B222" t="inlineStr">
        <is>
          <t>Vend_C</t>
        </is>
      </c>
      <c r="C222" s="13" t="n">
        <v>45637</v>
      </c>
      <c r="D222" s="13" t="n">
        <v>45667</v>
      </c>
      <c r="E222" t="inlineStr">
        <is>
          <t>EUR</t>
        </is>
      </c>
      <c r="F222" t="n">
        <v>9242.66</v>
      </c>
      <c r="G222" t="inlineStr">
        <is>
          <t>Paid</t>
        </is>
      </c>
      <c r="H222" s="13" t="n">
        <v>45692</v>
      </c>
    </row>
    <row r="223">
      <c r="A223" t="n">
        <v>9221</v>
      </c>
      <c r="B223" t="inlineStr">
        <is>
          <t>Vend_B</t>
        </is>
      </c>
      <c r="C223" s="13" t="n">
        <v>45356</v>
      </c>
      <c r="D223" s="13" t="n">
        <v>45416</v>
      </c>
      <c r="E223" t="inlineStr">
        <is>
          <t>EUR</t>
        </is>
      </c>
      <c r="F223" t="n">
        <v>1995.89</v>
      </c>
      <c r="G223" t="inlineStr">
        <is>
          <t>Paid</t>
        </is>
      </c>
      <c r="H223" s="13" t="n">
        <v>45418</v>
      </c>
    </row>
    <row r="224">
      <c r="A224" t="n">
        <v>9222</v>
      </c>
      <c r="B224" t="inlineStr">
        <is>
          <t>Vend_A</t>
        </is>
      </c>
      <c r="C224" s="13" t="n">
        <v>45302</v>
      </c>
      <c r="D224" s="13" t="n">
        <v>45362</v>
      </c>
      <c r="E224" t="inlineStr">
        <is>
          <t>EUR</t>
        </is>
      </c>
      <c r="F224" t="n">
        <v>3933.55</v>
      </c>
      <c r="G224" t="inlineStr">
        <is>
          <t>Paid</t>
        </is>
      </c>
      <c r="H224" s="13" t="n">
        <v>45370</v>
      </c>
    </row>
    <row r="225">
      <c r="A225" t="n">
        <v>9223</v>
      </c>
      <c r="B225" t="inlineStr">
        <is>
          <t>Vend_C</t>
        </is>
      </c>
      <c r="C225" s="13" t="n">
        <v>45403</v>
      </c>
      <c r="D225" s="13" t="n">
        <v>45433</v>
      </c>
      <c r="E225" t="inlineStr">
        <is>
          <t>EUR</t>
        </is>
      </c>
      <c r="F225" t="n">
        <v>995.65</v>
      </c>
      <c r="G225" t="inlineStr">
        <is>
          <t>Open</t>
        </is>
      </c>
    </row>
    <row r="226">
      <c r="A226" t="n">
        <v>9224</v>
      </c>
      <c r="B226" t="inlineStr">
        <is>
          <t>Vend_A</t>
        </is>
      </c>
      <c r="C226" s="13" t="n">
        <v>45627</v>
      </c>
      <c r="D226" s="13" t="n">
        <v>45687</v>
      </c>
      <c r="E226" t="inlineStr">
        <is>
          <t>EUR</t>
        </is>
      </c>
      <c r="F226" t="n">
        <v>1841.16</v>
      </c>
      <c r="G226" t="inlineStr">
        <is>
          <t>Paid</t>
        </is>
      </c>
      <c r="H226" s="13" t="n">
        <v>45698</v>
      </c>
    </row>
    <row r="227">
      <c r="A227" t="n">
        <v>9225</v>
      </c>
      <c r="B227" t="inlineStr">
        <is>
          <t>Vend_A</t>
        </is>
      </c>
      <c r="C227" s="13" t="n">
        <v>45452</v>
      </c>
      <c r="D227" s="13" t="n">
        <v>45512</v>
      </c>
      <c r="E227" t="inlineStr">
        <is>
          <t>USD</t>
        </is>
      </c>
      <c r="F227" t="n">
        <v>1320.69</v>
      </c>
      <c r="G227" t="inlineStr">
        <is>
          <t>Open</t>
        </is>
      </c>
    </row>
    <row r="228">
      <c r="A228" t="n">
        <v>9226</v>
      </c>
      <c r="B228" t="inlineStr">
        <is>
          <t>Vend_C</t>
        </is>
      </c>
      <c r="C228" s="13" t="n">
        <v>45577</v>
      </c>
      <c r="D228" s="13" t="n">
        <v>45607</v>
      </c>
      <c r="E228" t="inlineStr">
        <is>
          <t>EUR</t>
        </is>
      </c>
      <c r="F228" t="n">
        <v>3659.56</v>
      </c>
      <c r="G228" t="inlineStr">
        <is>
          <t>Open</t>
        </is>
      </c>
    </row>
    <row r="229">
      <c r="A229" t="n">
        <v>9227</v>
      </c>
      <c r="B229" t="inlineStr">
        <is>
          <t>Vend_B</t>
        </is>
      </c>
      <c r="C229" s="13" t="n">
        <v>45496</v>
      </c>
      <c r="D229" s="13" t="n">
        <v>45556</v>
      </c>
      <c r="E229" t="inlineStr">
        <is>
          <t>EUR</t>
        </is>
      </c>
      <c r="F229" t="n">
        <v>1174.89</v>
      </c>
      <c r="G229" t="inlineStr">
        <is>
          <t>Paid</t>
        </is>
      </c>
      <c r="H229" s="13" t="n">
        <v>45570</v>
      </c>
    </row>
    <row r="230">
      <c r="A230" t="n">
        <v>9228</v>
      </c>
      <c r="B230" t="inlineStr">
        <is>
          <t>Vend_B</t>
        </is>
      </c>
      <c r="C230" s="13" t="n">
        <v>45493</v>
      </c>
      <c r="D230" s="13" t="n">
        <v>45523</v>
      </c>
      <c r="E230" t="inlineStr">
        <is>
          <t>JPY</t>
        </is>
      </c>
      <c r="F230" t="n">
        <v>6276.13</v>
      </c>
      <c r="G230" t="inlineStr">
        <is>
          <t>Paid</t>
        </is>
      </c>
      <c r="H230" s="13" t="n">
        <v>45532</v>
      </c>
    </row>
    <row r="231">
      <c r="A231" t="n">
        <v>9229</v>
      </c>
      <c r="B231" t="inlineStr">
        <is>
          <t>Vend_C</t>
        </is>
      </c>
      <c r="C231" s="13" t="n">
        <v>45577</v>
      </c>
      <c r="D231" s="13" t="n">
        <v>45607</v>
      </c>
      <c r="E231" t="inlineStr">
        <is>
          <t>EUR</t>
        </is>
      </c>
      <c r="F231" t="n">
        <v>4464.09</v>
      </c>
      <c r="G231" t="inlineStr">
        <is>
          <t>Paid</t>
        </is>
      </c>
      <c r="H231" s="13" t="n">
        <v>45627</v>
      </c>
    </row>
    <row r="232">
      <c r="A232" t="n">
        <v>9230</v>
      </c>
      <c r="B232" t="inlineStr">
        <is>
          <t>Vend_B</t>
        </is>
      </c>
      <c r="C232" s="13" t="n">
        <v>45530</v>
      </c>
      <c r="D232" s="13" t="n">
        <v>45560</v>
      </c>
      <c r="E232" t="inlineStr">
        <is>
          <t>EUR</t>
        </is>
      </c>
      <c r="F232" t="n">
        <v>6724.59</v>
      </c>
      <c r="G232" t="inlineStr">
        <is>
          <t>Open</t>
        </is>
      </c>
    </row>
    <row r="233">
      <c r="A233" t="n">
        <v>9231</v>
      </c>
      <c r="B233" t="inlineStr">
        <is>
          <t>Vend_C</t>
        </is>
      </c>
      <c r="C233" s="13" t="n">
        <v>45363</v>
      </c>
      <c r="D233" s="13" t="n">
        <v>45393</v>
      </c>
      <c r="E233" t="inlineStr">
        <is>
          <t>EUR</t>
        </is>
      </c>
      <c r="F233" t="n">
        <v>2776.21</v>
      </c>
      <c r="G233" t="inlineStr">
        <is>
          <t>Open</t>
        </is>
      </c>
    </row>
    <row r="234">
      <c r="A234" t="n">
        <v>9232</v>
      </c>
      <c r="B234" t="inlineStr">
        <is>
          <t>Vend_A</t>
        </is>
      </c>
      <c r="C234" s="13" t="n">
        <v>45636</v>
      </c>
      <c r="D234" s="13" t="n">
        <v>45696</v>
      </c>
      <c r="E234" t="inlineStr">
        <is>
          <t>EUR</t>
        </is>
      </c>
      <c r="F234" t="n">
        <v>8260.379999999999</v>
      </c>
      <c r="G234" t="inlineStr">
        <is>
          <t>Paid</t>
        </is>
      </c>
      <c r="H234" s="13" t="n">
        <v>45719</v>
      </c>
    </row>
    <row r="235">
      <c r="A235" t="n">
        <v>9233</v>
      </c>
      <c r="B235" t="inlineStr">
        <is>
          <t>Vend_A</t>
        </is>
      </c>
      <c r="C235" s="13" t="n">
        <v>45504</v>
      </c>
      <c r="D235" s="13" t="n">
        <v>45534</v>
      </c>
      <c r="E235" t="inlineStr">
        <is>
          <t>EUR</t>
        </is>
      </c>
      <c r="F235" t="n">
        <v>14184.3</v>
      </c>
      <c r="G235" t="inlineStr">
        <is>
          <t>Paid</t>
        </is>
      </c>
      <c r="H235" s="13" t="n">
        <v>45557</v>
      </c>
    </row>
    <row r="236">
      <c r="A236" t="n">
        <v>9234</v>
      </c>
      <c r="B236" t="inlineStr">
        <is>
          <t>Vend_B</t>
        </is>
      </c>
      <c r="C236" s="13" t="n">
        <v>45549</v>
      </c>
      <c r="D236" s="13" t="n">
        <v>45579</v>
      </c>
      <c r="E236" t="inlineStr">
        <is>
          <t>EUR</t>
        </is>
      </c>
      <c r="F236" t="n">
        <v>3397.77</v>
      </c>
      <c r="G236" t="inlineStr">
        <is>
          <t>Paid</t>
        </is>
      </c>
      <c r="H236" s="13" t="n">
        <v>45594</v>
      </c>
    </row>
    <row r="237">
      <c r="A237" t="n">
        <v>9235</v>
      </c>
      <c r="B237" t="inlineStr">
        <is>
          <t>Vend_C</t>
        </is>
      </c>
      <c r="C237" s="13" t="n">
        <v>45401</v>
      </c>
      <c r="D237" s="13" t="n">
        <v>45461</v>
      </c>
      <c r="E237" t="inlineStr">
        <is>
          <t>EUR</t>
        </is>
      </c>
      <c r="F237" t="n">
        <v>7851.07</v>
      </c>
      <c r="G237" t="inlineStr">
        <is>
          <t>Paid</t>
        </is>
      </c>
      <c r="H237" s="13" t="n">
        <v>45485</v>
      </c>
    </row>
    <row r="238">
      <c r="A238" t="n">
        <v>9236</v>
      </c>
      <c r="B238" t="inlineStr">
        <is>
          <t>Vend_C</t>
        </is>
      </c>
      <c r="C238" s="13" t="n">
        <v>45469</v>
      </c>
      <c r="D238" s="13" t="n">
        <v>45529</v>
      </c>
      <c r="E238" t="inlineStr">
        <is>
          <t>EUR</t>
        </is>
      </c>
      <c r="F238" t="n">
        <v>8722.76</v>
      </c>
      <c r="G238" t="inlineStr">
        <is>
          <t>Paid</t>
        </is>
      </c>
      <c r="H238" s="13" t="n">
        <v>45543</v>
      </c>
    </row>
    <row r="239">
      <c r="A239" t="n">
        <v>9237</v>
      </c>
      <c r="B239" t="inlineStr">
        <is>
          <t>Vend_B</t>
        </is>
      </c>
      <c r="C239" s="13" t="n">
        <v>45543</v>
      </c>
      <c r="D239" s="13" t="n">
        <v>45573</v>
      </c>
      <c r="E239" t="inlineStr">
        <is>
          <t>EUR</t>
        </is>
      </c>
      <c r="F239" t="n">
        <v>6045.8</v>
      </c>
      <c r="G239" t="inlineStr">
        <is>
          <t>Paid</t>
        </is>
      </c>
      <c r="H239" s="13" t="n">
        <v>45576</v>
      </c>
    </row>
    <row r="240">
      <c r="A240" t="n">
        <v>9238</v>
      </c>
      <c r="B240" t="inlineStr">
        <is>
          <t>Vend_B</t>
        </is>
      </c>
      <c r="C240" s="13" t="n">
        <v>45449</v>
      </c>
      <c r="D240" s="13" t="n">
        <v>45479</v>
      </c>
      <c r="E240" t="inlineStr">
        <is>
          <t>EUR</t>
        </is>
      </c>
      <c r="F240" t="n">
        <v>9248.9</v>
      </c>
      <c r="G240" t="inlineStr">
        <is>
          <t>Paid</t>
        </is>
      </c>
      <c r="H240" s="13" t="n">
        <v>45480</v>
      </c>
    </row>
    <row r="241">
      <c r="A241" t="n">
        <v>9239</v>
      </c>
      <c r="B241" t="inlineStr">
        <is>
          <t>Vend_B</t>
        </is>
      </c>
      <c r="C241" s="13" t="n">
        <v>45445</v>
      </c>
      <c r="D241" s="13" t="n">
        <v>45505</v>
      </c>
      <c r="E241" t="inlineStr">
        <is>
          <t>EUR</t>
        </is>
      </c>
      <c r="F241" t="n">
        <v>2513.04</v>
      </c>
      <c r="G241" t="inlineStr">
        <is>
          <t>Paid</t>
        </is>
      </c>
      <c r="H241" s="13" t="n">
        <v>45512</v>
      </c>
    </row>
    <row r="242">
      <c r="A242" t="n">
        <v>9240</v>
      </c>
      <c r="B242" t="inlineStr">
        <is>
          <t>Vend_C</t>
        </is>
      </c>
      <c r="C242" s="13" t="n">
        <v>45567</v>
      </c>
      <c r="D242" s="13" t="n">
        <v>45597</v>
      </c>
      <c r="E242" t="inlineStr">
        <is>
          <t>EUR</t>
        </is>
      </c>
      <c r="F242" t="n">
        <v>3776.59</v>
      </c>
      <c r="G242" t="inlineStr">
        <is>
          <t>Paid</t>
        </is>
      </c>
      <c r="H242" s="13" t="n">
        <v>45597</v>
      </c>
    </row>
    <row r="243">
      <c r="A243" t="n">
        <v>9241</v>
      </c>
      <c r="B243" t="inlineStr">
        <is>
          <t>Vend_A</t>
        </is>
      </c>
      <c r="C243" s="13" t="n">
        <v>45602</v>
      </c>
      <c r="D243" s="13" t="n">
        <v>45632</v>
      </c>
      <c r="E243" t="inlineStr">
        <is>
          <t>EUR</t>
        </is>
      </c>
      <c r="F243" t="n">
        <v>2290.16</v>
      </c>
      <c r="G243" t="inlineStr">
        <is>
          <t>Paid</t>
        </is>
      </c>
      <c r="H243" s="13" t="n">
        <v>45646</v>
      </c>
    </row>
    <row r="244">
      <c r="A244" t="n">
        <v>9242</v>
      </c>
      <c r="B244" t="inlineStr">
        <is>
          <t>Vend_B</t>
        </is>
      </c>
      <c r="C244" s="13" t="n">
        <v>45641</v>
      </c>
      <c r="D244" s="13" t="n">
        <v>45701</v>
      </c>
      <c r="E244" t="inlineStr">
        <is>
          <t>EUR</t>
        </is>
      </c>
      <c r="F244" t="n">
        <v>8954.040000000001</v>
      </c>
      <c r="G244" t="inlineStr">
        <is>
          <t>Paid</t>
        </is>
      </c>
      <c r="H244" s="13" t="n">
        <v>45715</v>
      </c>
    </row>
    <row r="245">
      <c r="A245" t="n">
        <v>9243</v>
      </c>
      <c r="B245" t="inlineStr">
        <is>
          <t>Vend_B</t>
        </is>
      </c>
      <c r="C245" s="13" t="n">
        <v>45517</v>
      </c>
      <c r="D245" s="13" t="n">
        <v>45577</v>
      </c>
      <c r="E245" t="inlineStr">
        <is>
          <t>EUR</t>
        </is>
      </c>
      <c r="F245" t="n">
        <v>904.58</v>
      </c>
      <c r="G245" t="inlineStr">
        <is>
          <t>Open</t>
        </is>
      </c>
    </row>
    <row r="246">
      <c r="A246" t="n">
        <v>9244</v>
      </c>
      <c r="B246" t="inlineStr">
        <is>
          <t>Vend_A</t>
        </is>
      </c>
      <c r="C246" s="13" t="n">
        <v>45420</v>
      </c>
      <c r="D246" s="13" t="n">
        <v>45450</v>
      </c>
      <c r="E246" t="inlineStr">
        <is>
          <t>EUR</t>
        </is>
      </c>
      <c r="F246" t="n">
        <v>7539.9</v>
      </c>
      <c r="G246" t="inlineStr">
        <is>
          <t>Paid</t>
        </is>
      </c>
      <c r="H246" s="13" t="n">
        <v>45472</v>
      </c>
    </row>
    <row r="247">
      <c r="A247" t="n">
        <v>9245</v>
      </c>
      <c r="B247" t="inlineStr">
        <is>
          <t>Vend_A</t>
        </is>
      </c>
      <c r="C247" s="13" t="n">
        <v>45364</v>
      </c>
      <c r="D247" s="13" t="n">
        <v>45424</v>
      </c>
      <c r="E247" t="inlineStr">
        <is>
          <t>EUR</t>
        </is>
      </c>
      <c r="F247" t="n">
        <v>245.06</v>
      </c>
      <c r="G247" t="inlineStr">
        <is>
          <t>Paid</t>
        </is>
      </c>
      <c r="H247" s="13" t="n">
        <v>45442</v>
      </c>
    </row>
    <row r="248">
      <c r="A248" t="n">
        <v>9246</v>
      </c>
      <c r="B248" t="inlineStr">
        <is>
          <t>Vend_C</t>
        </is>
      </c>
      <c r="C248" s="13" t="n">
        <v>45490</v>
      </c>
      <c r="D248" s="13" t="n">
        <v>45550</v>
      </c>
      <c r="E248" t="inlineStr">
        <is>
          <t>EUR</t>
        </is>
      </c>
      <c r="F248" t="n">
        <v>1583.41</v>
      </c>
      <c r="G248" t="inlineStr">
        <is>
          <t>Paid</t>
        </is>
      </c>
      <c r="H248" s="13" t="n">
        <v>45558</v>
      </c>
    </row>
    <row r="249">
      <c r="A249" t="n">
        <v>9247</v>
      </c>
      <c r="B249" t="inlineStr">
        <is>
          <t>Vend_A</t>
        </is>
      </c>
      <c r="C249" s="13" t="n">
        <v>45559</v>
      </c>
      <c r="D249" s="13" t="n">
        <v>45619</v>
      </c>
      <c r="E249" t="inlineStr">
        <is>
          <t>EUR</t>
        </is>
      </c>
      <c r="F249" t="n">
        <v>3954.63</v>
      </c>
      <c r="G249" t="inlineStr">
        <is>
          <t>Paid</t>
        </is>
      </c>
      <c r="H249" s="13" t="n">
        <v>45637</v>
      </c>
    </row>
    <row r="250">
      <c r="A250" t="n">
        <v>9248</v>
      </c>
      <c r="B250" t="inlineStr">
        <is>
          <t>Vend_C</t>
        </is>
      </c>
      <c r="C250" s="13" t="n">
        <v>45556</v>
      </c>
      <c r="D250" s="13" t="n">
        <v>45586</v>
      </c>
      <c r="E250" t="inlineStr">
        <is>
          <t>EUR</t>
        </is>
      </c>
      <c r="F250" t="n">
        <v>5880.48</v>
      </c>
      <c r="G250" t="inlineStr">
        <is>
          <t>Paid</t>
        </is>
      </c>
      <c r="H250" s="13" t="n">
        <v>45603</v>
      </c>
    </row>
    <row r="251">
      <c r="A251" t="n">
        <v>9249</v>
      </c>
      <c r="B251" t="inlineStr">
        <is>
          <t>Vend_A</t>
        </is>
      </c>
      <c r="C251" s="13" t="n">
        <v>45644</v>
      </c>
      <c r="D251" s="13" t="n">
        <v>45674</v>
      </c>
      <c r="E251" t="inlineStr">
        <is>
          <t>EUR</t>
        </is>
      </c>
      <c r="F251" t="n">
        <v>4891.35</v>
      </c>
      <c r="G251" t="inlineStr">
        <is>
          <t>Paid</t>
        </is>
      </c>
      <c r="H251" s="13" t="n">
        <v>45675</v>
      </c>
    </row>
    <row r="252">
      <c r="A252" t="n">
        <v>9250</v>
      </c>
      <c r="B252" t="inlineStr">
        <is>
          <t>Vend_C</t>
        </is>
      </c>
      <c r="C252" s="13" t="n">
        <v>45642</v>
      </c>
      <c r="D252" s="13" t="n">
        <v>45672</v>
      </c>
      <c r="E252" t="inlineStr">
        <is>
          <t>EUR</t>
        </is>
      </c>
      <c r="F252" t="n">
        <v>2664.18</v>
      </c>
      <c r="G252" t="inlineStr">
        <is>
          <t>Paid</t>
        </is>
      </c>
      <c r="H252" s="13" t="n">
        <v>45697</v>
      </c>
    </row>
    <row r="253">
      <c r="A253" t="n">
        <v>9251</v>
      </c>
      <c r="B253" t="inlineStr">
        <is>
          <t>Vend_C</t>
        </is>
      </c>
      <c r="C253" s="13" t="n">
        <v>45381</v>
      </c>
      <c r="D253" s="13" t="n">
        <v>45441</v>
      </c>
      <c r="E253" t="inlineStr">
        <is>
          <t>EUR</t>
        </is>
      </c>
      <c r="F253" t="n">
        <v>3821.66</v>
      </c>
      <c r="G253" t="inlineStr">
        <is>
          <t>Paid</t>
        </is>
      </c>
      <c r="H253" s="13" t="n">
        <v>45456</v>
      </c>
    </row>
    <row r="254">
      <c r="A254" t="n">
        <v>9252</v>
      </c>
      <c r="B254" t="inlineStr">
        <is>
          <t>Vend_B</t>
        </is>
      </c>
      <c r="C254" s="13" t="n">
        <v>45332</v>
      </c>
      <c r="D254" s="13" t="n">
        <v>45392</v>
      </c>
      <c r="E254" t="inlineStr">
        <is>
          <t>EUR</t>
        </is>
      </c>
      <c r="F254" t="n">
        <v>2267.55</v>
      </c>
      <c r="G254" t="inlineStr">
        <is>
          <t>Open</t>
        </is>
      </c>
    </row>
    <row r="255">
      <c r="A255" t="n">
        <v>9253</v>
      </c>
      <c r="B255" t="inlineStr">
        <is>
          <t>Vend_C</t>
        </is>
      </c>
      <c r="C255" s="13" t="n">
        <v>45524</v>
      </c>
      <c r="D255" s="13" t="n">
        <v>45584</v>
      </c>
      <c r="E255" t="inlineStr">
        <is>
          <t>EUR</t>
        </is>
      </c>
      <c r="F255" t="n">
        <v>5337.49</v>
      </c>
      <c r="G255" t="inlineStr">
        <is>
          <t>Paid</t>
        </is>
      </c>
      <c r="H255" s="13" t="n">
        <v>45602</v>
      </c>
    </row>
    <row r="256">
      <c r="A256" t="n">
        <v>9254</v>
      </c>
      <c r="B256" t="inlineStr">
        <is>
          <t>Vend_A</t>
        </is>
      </c>
      <c r="C256" s="13" t="n">
        <v>45481</v>
      </c>
      <c r="D256" s="13" t="n">
        <v>45541</v>
      </c>
      <c r="E256" t="inlineStr">
        <is>
          <t>EUR</t>
        </is>
      </c>
      <c r="F256" t="n">
        <v>5076.91</v>
      </c>
      <c r="G256" t="inlineStr">
        <is>
          <t>Paid</t>
        </is>
      </c>
      <c r="H256" s="13" t="n">
        <v>45564</v>
      </c>
    </row>
    <row r="257">
      <c r="A257" t="n">
        <v>9255</v>
      </c>
      <c r="B257" t="inlineStr">
        <is>
          <t>Vend_C</t>
        </is>
      </c>
      <c r="C257" s="13" t="n">
        <v>45452</v>
      </c>
      <c r="D257" s="13" t="n">
        <v>45482</v>
      </c>
      <c r="E257" t="inlineStr">
        <is>
          <t>EUR</t>
        </is>
      </c>
      <c r="F257" t="n">
        <v>4350.16</v>
      </c>
      <c r="G257" t="inlineStr">
        <is>
          <t>Open</t>
        </is>
      </c>
    </row>
    <row r="258">
      <c r="A258" t="n">
        <v>9256</v>
      </c>
      <c r="B258" t="inlineStr">
        <is>
          <t>Vend_A</t>
        </is>
      </c>
      <c r="C258" s="13" t="n">
        <v>45308</v>
      </c>
      <c r="D258" s="13" t="n">
        <v>45368</v>
      </c>
      <c r="E258" t="inlineStr">
        <is>
          <t>EUR</t>
        </is>
      </c>
      <c r="F258" t="n">
        <v>2299.35</v>
      </c>
      <c r="G258" t="inlineStr">
        <is>
          <t>Paid</t>
        </is>
      </c>
      <c r="H258" s="13" t="n">
        <v>45372</v>
      </c>
    </row>
    <row r="259">
      <c r="A259" t="n">
        <v>9257</v>
      </c>
      <c r="B259" t="inlineStr">
        <is>
          <t>Vend_B</t>
        </is>
      </c>
      <c r="C259" s="13" t="n">
        <v>45581</v>
      </c>
      <c r="D259" s="13" t="n">
        <v>45641</v>
      </c>
      <c r="E259" t="inlineStr">
        <is>
          <t>EUR</t>
        </is>
      </c>
      <c r="F259" t="n">
        <v>18698.6</v>
      </c>
      <c r="G259" t="inlineStr">
        <is>
          <t>Paid</t>
        </is>
      </c>
      <c r="H259" s="13" t="n">
        <v>45655</v>
      </c>
    </row>
    <row r="260">
      <c r="A260" t="n">
        <v>9258</v>
      </c>
      <c r="B260" t="inlineStr">
        <is>
          <t>Vend_C</t>
        </is>
      </c>
      <c r="C260" s="13" t="n">
        <v>45508</v>
      </c>
      <c r="D260" s="13" t="n">
        <v>45568</v>
      </c>
      <c r="E260" t="inlineStr">
        <is>
          <t>EUR</t>
        </is>
      </c>
      <c r="F260" t="n">
        <v>7385.19</v>
      </c>
      <c r="G260" t="inlineStr">
        <is>
          <t>Paid</t>
        </is>
      </c>
      <c r="H260" s="13" t="n">
        <v>45571</v>
      </c>
    </row>
    <row r="261">
      <c r="A261" t="n">
        <v>9259</v>
      </c>
      <c r="B261" t="inlineStr">
        <is>
          <t>Vend_A</t>
        </is>
      </c>
      <c r="C261" s="13" t="n">
        <v>45464</v>
      </c>
      <c r="D261" s="13" t="n">
        <v>45494</v>
      </c>
      <c r="E261" t="inlineStr">
        <is>
          <t>EUR</t>
        </is>
      </c>
      <c r="F261" t="n">
        <v>4027.74</v>
      </c>
      <c r="G261" t="inlineStr">
        <is>
          <t>Paid</t>
        </is>
      </c>
      <c r="H261" s="13" t="n">
        <v>45503</v>
      </c>
    </row>
    <row r="262">
      <c r="A262" t="n">
        <v>9260</v>
      </c>
      <c r="B262" t="inlineStr">
        <is>
          <t>Vend_A</t>
        </is>
      </c>
      <c r="C262" s="13" t="n">
        <v>45568</v>
      </c>
      <c r="D262" s="13" t="n">
        <v>45628</v>
      </c>
      <c r="E262" t="inlineStr">
        <is>
          <t>EUR</t>
        </is>
      </c>
      <c r="F262" t="n">
        <v>1932.05</v>
      </c>
      <c r="G262" t="inlineStr">
        <is>
          <t>Open</t>
        </is>
      </c>
    </row>
    <row r="263">
      <c r="A263" t="n">
        <v>9261</v>
      </c>
      <c r="B263" t="inlineStr">
        <is>
          <t>Vend_A</t>
        </is>
      </c>
      <c r="C263" s="13" t="n">
        <v>45341</v>
      </c>
      <c r="D263" s="13" t="n">
        <v>45401</v>
      </c>
      <c r="E263" t="inlineStr">
        <is>
          <t>EUR</t>
        </is>
      </c>
      <c r="F263" t="n">
        <v>8904.07</v>
      </c>
      <c r="G263" t="inlineStr">
        <is>
          <t>Paid</t>
        </is>
      </c>
      <c r="H263" s="13" t="n">
        <v>45415</v>
      </c>
    </row>
    <row r="264">
      <c r="A264" t="n">
        <v>9262</v>
      </c>
      <c r="B264" t="inlineStr">
        <is>
          <t>Vend_B</t>
        </is>
      </c>
      <c r="C264" s="13" t="n">
        <v>45370</v>
      </c>
      <c r="D264" s="13" t="n">
        <v>45400</v>
      </c>
      <c r="E264" t="inlineStr">
        <is>
          <t>EUR</t>
        </is>
      </c>
      <c r="F264" t="n">
        <v>9927.690000000001</v>
      </c>
      <c r="G264" t="inlineStr">
        <is>
          <t>Paid</t>
        </is>
      </c>
      <c r="H264" s="13" t="n">
        <v>45421</v>
      </c>
    </row>
    <row r="265">
      <c r="A265" t="n">
        <v>9263</v>
      </c>
      <c r="B265" t="inlineStr">
        <is>
          <t>Vend_B</t>
        </is>
      </c>
      <c r="C265" s="13" t="n">
        <v>45420</v>
      </c>
      <c r="D265" s="13" t="n">
        <v>45450</v>
      </c>
      <c r="E265" t="inlineStr">
        <is>
          <t>EUR</t>
        </is>
      </c>
      <c r="F265" t="n">
        <v>4839.5</v>
      </c>
      <c r="G265" t="inlineStr">
        <is>
          <t>Paid</t>
        </is>
      </c>
      <c r="H265" s="13" t="n">
        <v>45467</v>
      </c>
    </row>
    <row r="266">
      <c r="A266" t="n">
        <v>9264</v>
      </c>
      <c r="B266" t="inlineStr">
        <is>
          <t>Vend_C</t>
        </is>
      </c>
      <c r="C266" s="13" t="n">
        <v>45475</v>
      </c>
      <c r="D266" s="13" t="n">
        <v>45535</v>
      </c>
      <c r="E266" t="inlineStr">
        <is>
          <t>JPY</t>
        </is>
      </c>
      <c r="F266" t="n">
        <v>4528.21</v>
      </c>
      <c r="G266" t="inlineStr">
        <is>
          <t>Paid</t>
        </is>
      </c>
      <c r="H266" s="13" t="n">
        <v>45547</v>
      </c>
    </row>
    <row r="267">
      <c r="A267" t="n">
        <v>9265</v>
      </c>
      <c r="B267" t="inlineStr">
        <is>
          <t>Vend_B</t>
        </is>
      </c>
      <c r="C267" s="13" t="n">
        <v>45656</v>
      </c>
      <c r="D267" s="13" t="n">
        <v>45686</v>
      </c>
      <c r="E267" t="inlineStr">
        <is>
          <t>EUR</t>
        </is>
      </c>
      <c r="F267" t="n">
        <v>5925.28</v>
      </c>
      <c r="G267" t="inlineStr">
        <is>
          <t>Paid</t>
        </is>
      </c>
      <c r="H267" s="13" t="n">
        <v>45691</v>
      </c>
    </row>
    <row r="268">
      <c r="A268" t="n">
        <v>9266</v>
      </c>
      <c r="B268" t="inlineStr">
        <is>
          <t>Vend_C</t>
        </is>
      </c>
      <c r="C268" s="13" t="n">
        <v>45525</v>
      </c>
      <c r="D268" s="13" t="n">
        <v>45555</v>
      </c>
      <c r="E268" t="inlineStr">
        <is>
          <t>EUR</t>
        </is>
      </c>
      <c r="F268" t="n">
        <v>4229.35</v>
      </c>
      <c r="G268" t="inlineStr">
        <is>
          <t>Open</t>
        </is>
      </c>
    </row>
    <row r="269">
      <c r="A269" t="n">
        <v>9267</v>
      </c>
      <c r="B269" t="inlineStr">
        <is>
          <t>Vend_C</t>
        </is>
      </c>
      <c r="C269" s="13" t="n">
        <v>45439</v>
      </c>
      <c r="D269" s="13" t="n">
        <v>45469</v>
      </c>
      <c r="E269" t="inlineStr">
        <is>
          <t>EUR</t>
        </is>
      </c>
      <c r="F269" t="n">
        <v>6317.96</v>
      </c>
      <c r="G269" t="inlineStr">
        <is>
          <t>Paid</t>
        </is>
      </c>
      <c r="H269" s="13" t="n">
        <v>45486</v>
      </c>
    </row>
    <row r="270">
      <c r="A270" t="n">
        <v>9268</v>
      </c>
      <c r="B270" t="inlineStr">
        <is>
          <t>Vend_A</t>
        </is>
      </c>
      <c r="C270" s="13" t="n">
        <v>45458</v>
      </c>
      <c r="D270" s="13" t="n">
        <v>45518</v>
      </c>
      <c r="E270" t="inlineStr">
        <is>
          <t>EUR</t>
        </is>
      </c>
      <c r="F270" t="n">
        <v>2243.34</v>
      </c>
      <c r="G270" t="inlineStr">
        <is>
          <t>Open</t>
        </is>
      </c>
    </row>
    <row r="271">
      <c r="A271" t="n">
        <v>9269</v>
      </c>
      <c r="B271" t="inlineStr">
        <is>
          <t>Vend_B</t>
        </is>
      </c>
      <c r="C271" s="13" t="n">
        <v>45633</v>
      </c>
      <c r="D271" s="13" t="n">
        <v>45693</v>
      </c>
      <c r="E271" t="inlineStr">
        <is>
          <t>USD</t>
        </is>
      </c>
      <c r="F271" t="n">
        <v>11189.81</v>
      </c>
      <c r="G271" t="inlineStr">
        <is>
          <t>Paid</t>
        </is>
      </c>
      <c r="H271" s="13" t="n">
        <v>45693</v>
      </c>
    </row>
    <row r="272">
      <c r="A272" t="n">
        <v>9270</v>
      </c>
      <c r="B272" t="inlineStr">
        <is>
          <t>Vend_A</t>
        </is>
      </c>
      <c r="C272" s="13" t="n">
        <v>45633</v>
      </c>
      <c r="D272" s="13" t="n">
        <v>45663</v>
      </c>
      <c r="E272" t="inlineStr">
        <is>
          <t>USD</t>
        </is>
      </c>
      <c r="F272" t="n">
        <v>8226.120000000001</v>
      </c>
      <c r="G272" t="inlineStr">
        <is>
          <t>Paid</t>
        </is>
      </c>
      <c r="H272" s="13" t="n">
        <v>45663</v>
      </c>
    </row>
    <row r="273">
      <c r="A273" t="n">
        <v>9271</v>
      </c>
      <c r="B273" t="inlineStr">
        <is>
          <t>Vend_B</t>
        </is>
      </c>
      <c r="C273" s="13" t="n">
        <v>45311</v>
      </c>
      <c r="D273" s="13" t="n">
        <v>45341</v>
      </c>
      <c r="E273" t="inlineStr">
        <is>
          <t>EUR</t>
        </is>
      </c>
      <c r="F273" t="n">
        <v>1149.14</v>
      </c>
      <c r="G273" t="inlineStr">
        <is>
          <t>Open</t>
        </is>
      </c>
    </row>
    <row r="274">
      <c r="A274" t="n">
        <v>9272</v>
      </c>
      <c r="B274" t="inlineStr">
        <is>
          <t>Vend_B</t>
        </is>
      </c>
      <c r="C274" s="13" t="n">
        <v>45500</v>
      </c>
      <c r="D274" s="13" t="n">
        <v>45560</v>
      </c>
      <c r="E274" t="inlineStr">
        <is>
          <t>USD</t>
        </is>
      </c>
      <c r="F274" t="n">
        <v>2976.41</v>
      </c>
      <c r="G274" t="inlineStr">
        <is>
          <t>Paid</t>
        </is>
      </c>
      <c r="H274" s="13" t="n">
        <v>45579</v>
      </c>
    </row>
    <row r="275">
      <c r="A275" t="n">
        <v>9273</v>
      </c>
      <c r="B275" t="inlineStr">
        <is>
          <t>Vend_A</t>
        </is>
      </c>
      <c r="C275" s="13" t="n">
        <v>45449</v>
      </c>
      <c r="D275" s="13" t="n">
        <v>45479</v>
      </c>
      <c r="E275" t="inlineStr">
        <is>
          <t>EUR</t>
        </is>
      </c>
      <c r="F275" t="n">
        <v>14921.74</v>
      </c>
      <c r="G275" t="inlineStr">
        <is>
          <t>Paid</t>
        </is>
      </c>
      <c r="H275" s="13" t="n">
        <v>45490</v>
      </c>
    </row>
    <row r="276">
      <c r="A276" t="n">
        <v>9274</v>
      </c>
      <c r="B276" t="inlineStr">
        <is>
          <t>Vend_B</t>
        </is>
      </c>
      <c r="C276" s="13" t="n">
        <v>45616</v>
      </c>
      <c r="D276" s="13" t="n">
        <v>45646</v>
      </c>
      <c r="E276" t="inlineStr">
        <is>
          <t>EUR</t>
        </is>
      </c>
      <c r="F276" t="n">
        <v>11331.11</v>
      </c>
      <c r="G276" t="inlineStr">
        <is>
          <t>Paid</t>
        </is>
      </c>
      <c r="H276" s="13" t="n">
        <v>45664</v>
      </c>
    </row>
    <row r="277">
      <c r="A277" t="n">
        <v>9275</v>
      </c>
      <c r="B277" t="inlineStr">
        <is>
          <t>Vend_A</t>
        </is>
      </c>
      <c r="C277" s="13" t="n">
        <v>45455</v>
      </c>
      <c r="D277" s="13" t="n">
        <v>45515</v>
      </c>
      <c r="E277" t="inlineStr">
        <is>
          <t>EUR</t>
        </is>
      </c>
      <c r="F277" t="n">
        <v>2903.15</v>
      </c>
      <c r="G277" t="inlineStr">
        <is>
          <t>Open</t>
        </is>
      </c>
    </row>
    <row r="278">
      <c r="A278" t="n">
        <v>9276</v>
      </c>
      <c r="B278" t="inlineStr">
        <is>
          <t>Vend_A</t>
        </is>
      </c>
      <c r="C278" s="13" t="n">
        <v>45553</v>
      </c>
      <c r="D278" s="13" t="n">
        <v>45583</v>
      </c>
      <c r="E278" t="inlineStr">
        <is>
          <t>EUR</t>
        </is>
      </c>
      <c r="F278" t="n">
        <v>2641.43</v>
      </c>
      <c r="G278" t="inlineStr">
        <is>
          <t>Paid</t>
        </is>
      </c>
      <c r="H278" s="13" t="n">
        <v>45600</v>
      </c>
    </row>
    <row r="279">
      <c r="A279" t="n">
        <v>9277</v>
      </c>
      <c r="B279" t="inlineStr">
        <is>
          <t>Vend_A</t>
        </is>
      </c>
      <c r="C279" s="13" t="n">
        <v>45519</v>
      </c>
      <c r="D279" s="13" t="n">
        <v>45549</v>
      </c>
      <c r="E279" t="inlineStr">
        <is>
          <t>EUR</t>
        </is>
      </c>
      <c r="F279" t="n">
        <v>3249.37</v>
      </c>
      <c r="G279" t="inlineStr">
        <is>
          <t>Paid</t>
        </is>
      </c>
      <c r="H279" s="13" t="n">
        <v>45563</v>
      </c>
    </row>
    <row r="280">
      <c r="A280" t="n">
        <v>9278</v>
      </c>
      <c r="B280" t="inlineStr">
        <is>
          <t>Vend_C</t>
        </is>
      </c>
      <c r="C280" s="13" t="n">
        <v>45378</v>
      </c>
      <c r="D280" s="13" t="n">
        <v>45438</v>
      </c>
      <c r="E280" t="inlineStr">
        <is>
          <t>EUR</t>
        </is>
      </c>
      <c r="F280" t="n">
        <v>5012.28</v>
      </c>
      <c r="G280" t="inlineStr">
        <is>
          <t>Paid</t>
        </is>
      </c>
      <c r="H280" s="13" t="n">
        <v>45460</v>
      </c>
    </row>
    <row r="281">
      <c r="A281" t="n">
        <v>9279</v>
      </c>
      <c r="B281" t="inlineStr">
        <is>
          <t>Vend_A</t>
        </is>
      </c>
      <c r="C281" s="13" t="n">
        <v>45442</v>
      </c>
      <c r="D281" s="13" t="n">
        <v>45502</v>
      </c>
      <c r="E281" t="inlineStr">
        <is>
          <t>EUR</t>
        </is>
      </c>
      <c r="F281" t="n">
        <v>14058.61</v>
      </c>
      <c r="G281" t="inlineStr">
        <is>
          <t>Overdue</t>
        </is>
      </c>
    </row>
    <row r="282">
      <c r="A282" t="n">
        <v>9280</v>
      </c>
      <c r="B282" t="inlineStr">
        <is>
          <t>Vend_B</t>
        </is>
      </c>
      <c r="C282" s="13" t="n">
        <v>45467</v>
      </c>
      <c r="D282" s="13" t="n">
        <v>45527</v>
      </c>
      <c r="E282" t="inlineStr">
        <is>
          <t>EUR</t>
        </is>
      </c>
      <c r="F282" t="n">
        <v>7557.18</v>
      </c>
      <c r="G282" t="inlineStr">
        <is>
          <t>Open</t>
        </is>
      </c>
    </row>
    <row r="283">
      <c r="A283" t="n">
        <v>9281</v>
      </c>
      <c r="B283" t="inlineStr">
        <is>
          <t>Vend_A</t>
        </is>
      </c>
      <c r="C283" s="13" t="n">
        <v>45632</v>
      </c>
      <c r="D283" s="13" t="n">
        <v>45692</v>
      </c>
      <c r="E283" t="inlineStr">
        <is>
          <t>EUR</t>
        </is>
      </c>
      <c r="F283" t="n">
        <v>8858.790000000001</v>
      </c>
      <c r="G283" t="inlineStr">
        <is>
          <t>Paid</t>
        </is>
      </c>
      <c r="H283" s="13" t="n">
        <v>45702</v>
      </c>
    </row>
    <row r="284">
      <c r="A284" t="n">
        <v>9282</v>
      </c>
      <c r="B284" t="inlineStr">
        <is>
          <t>Vend_C</t>
        </is>
      </c>
      <c r="C284" s="13" t="n">
        <v>45652</v>
      </c>
      <c r="D284" s="13" t="n">
        <v>45712</v>
      </c>
      <c r="E284" t="inlineStr">
        <is>
          <t>EUR</t>
        </is>
      </c>
      <c r="F284" t="n">
        <v>1801.73</v>
      </c>
      <c r="G284" t="inlineStr">
        <is>
          <t>Open</t>
        </is>
      </c>
    </row>
    <row r="285">
      <c r="A285" t="n">
        <v>9283</v>
      </c>
      <c r="B285" t="inlineStr">
        <is>
          <t>Vend_C</t>
        </is>
      </c>
      <c r="C285" s="13" t="n">
        <v>45655</v>
      </c>
      <c r="D285" s="13" t="n">
        <v>45715</v>
      </c>
      <c r="E285" t="inlineStr">
        <is>
          <t>JPY</t>
        </is>
      </c>
      <c r="F285" t="n">
        <v>9045.9</v>
      </c>
      <c r="G285" t="inlineStr">
        <is>
          <t>Paid</t>
        </is>
      </c>
      <c r="H285" s="13" t="n">
        <v>45721</v>
      </c>
    </row>
    <row r="286">
      <c r="A286" t="n">
        <v>9284</v>
      </c>
      <c r="B286" t="inlineStr">
        <is>
          <t>Vend_B</t>
        </is>
      </c>
      <c r="C286" s="13" t="n">
        <v>45571</v>
      </c>
      <c r="D286" s="13" t="n">
        <v>45631</v>
      </c>
      <c r="E286" t="inlineStr">
        <is>
          <t>EUR</t>
        </is>
      </c>
      <c r="F286" t="n">
        <v>9202.540000000001</v>
      </c>
      <c r="G286" t="inlineStr">
        <is>
          <t>Paid</t>
        </is>
      </c>
      <c r="H286" s="13" t="n">
        <v>45639</v>
      </c>
    </row>
    <row r="287">
      <c r="A287" t="n">
        <v>9285</v>
      </c>
      <c r="B287" t="inlineStr">
        <is>
          <t>Vend_A</t>
        </is>
      </c>
      <c r="C287" s="13" t="n">
        <v>45293</v>
      </c>
      <c r="D287" s="13" t="n">
        <v>45353</v>
      </c>
      <c r="E287" t="inlineStr">
        <is>
          <t>EUR</t>
        </is>
      </c>
      <c r="F287" t="n">
        <v>6463.91</v>
      </c>
      <c r="G287" t="inlineStr">
        <is>
          <t>Paid</t>
        </is>
      </c>
      <c r="H287" s="13" t="n">
        <v>45373</v>
      </c>
    </row>
    <row r="288">
      <c r="A288" t="n">
        <v>9286</v>
      </c>
      <c r="B288" t="inlineStr">
        <is>
          <t>Vend_B</t>
        </is>
      </c>
      <c r="C288" s="13" t="n">
        <v>45321</v>
      </c>
      <c r="D288" s="13" t="n">
        <v>45351</v>
      </c>
      <c r="E288" t="inlineStr">
        <is>
          <t>EUR</t>
        </is>
      </c>
      <c r="F288" t="n">
        <v>5565.13</v>
      </c>
      <c r="G288" t="inlineStr">
        <is>
          <t>Open</t>
        </is>
      </c>
    </row>
    <row r="289">
      <c r="A289" t="n">
        <v>9287</v>
      </c>
      <c r="B289" t="inlineStr">
        <is>
          <t>Vend_B</t>
        </is>
      </c>
      <c r="C289" s="13" t="n">
        <v>45417</v>
      </c>
      <c r="D289" s="13" t="n">
        <v>45477</v>
      </c>
      <c r="E289" t="inlineStr">
        <is>
          <t>EUR</t>
        </is>
      </c>
      <c r="F289" t="n">
        <v>5734.36</v>
      </c>
      <c r="G289" t="inlineStr">
        <is>
          <t>Paid</t>
        </is>
      </c>
      <c r="H289" s="13" t="n">
        <v>45492</v>
      </c>
    </row>
    <row r="290">
      <c r="A290" t="n">
        <v>9288</v>
      </c>
      <c r="B290" t="inlineStr">
        <is>
          <t>Vend_B</t>
        </is>
      </c>
      <c r="C290" s="13" t="n">
        <v>45484</v>
      </c>
      <c r="D290" s="13" t="n">
        <v>45514</v>
      </c>
      <c r="E290" t="inlineStr">
        <is>
          <t>EUR</t>
        </is>
      </c>
      <c r="F290" t="n">
        <v>7465.67</v>
      </c>
      <c r="G290" t="inlineStr">
        <is>
          <t>Paid</t>
        </is>
      </c>
      <c r="H290" s="13" t="n">
        <v>45529</v>
      </c>
    </row>
    <row r="291">
      <c r="A291" t="n">
        <v>9289</v>
      </c>
      <c r="B291" t="inlineStr">
        <is>
          <t>Vend_A</t>
        </is>
      </c>
      <c r="C291" s="13" t="n">
        <v>45475</v>
      </c>
      <c r="D291" s="13" t="n">
        <v>45535</v>
      </c>
      <c r="E291" t="inlineStr">
        <is>
          <t>EUR</t>
        </is>
      </c>
      <c r="F291" t="n">
        <v>6146.9</v>
      </c>
      <c r="G291" t="inlineStr">
        <is>
          <t>Open</t>
        </is>
      </c>
    </row>
    <row r="292">
      <c r="A292" t="n">
        <v>9290</v>
      </c>
      <c r="B292" t="inlineStr">
        <is>
          <t>Vend_C</t>
        </is>
      </c>
      <c r="C292" s="13" t="n">
        <v>45355</v>
      </c>
      <c r="D292" s="13" t="n">
        <v>45385</v>
      </c>
      <c r="E292" t="inlineStr">
        <is>
          <t>JPY</t>
        </is>
      </c>
      <c r="F292" t="n">
        <v>4394.66</v>
      </c>
      <c r="G292" t="inlineStr">
        <is>
          <t>Open</t>
        </is>
      </c>
    </row>
    <row r="293">
      <c r="A293" t="n">
        <v>9291</v>
      </c>
      <c r="B293" t="inlineStr">
        <is>
          <t>Vend_B</t>
        </is>
      </c>
      <c r="C293" s="13" t="n">
        <v>45358</v>
      </c>
      <c r="D293" s="13" t="n">
        <v>45388</v>
      </c>
      <c r="E293" t="inlineStr">
        <is>
          <t>EUR</t>
        </is>
      </c>
      <c r="F293" t="n">
        <v>8671.389999999999</v>
      </c>
      <c r="G293" t="inlineStr">
        <is>
          <t>Paid</t>
        </is>
      </c>
      <c r="H293" s="13" t="n">
        <v>45389</v>
      </c>
    </row>
    <row r="294">
      <c r="A294" t="n">
        <v>9292</v>
      </c>
      <c r="B294" t="inlineStr">
        <is>
          <t>Vend_A</t>
        </is>
      </c>
      <c r="C294" s="13" t="n">
        <v>45410</v>
      </c>
      <c r="D294" s="13" t="n">
        <v>45440</v>
      </c>
      <c r="E294" t="inlineStr">
        <is>
          <t>EUR</t>
        </is>
      </c>
      <c r="F294" t="n">
        <v>7454.7</v>
      </c>
      <c r="G294" t="inlineStr">
        <is>
          <t>Paid</t>
        </is>
      </c>
      <c r="H294" s="13" t="n">
        <v>45442</v>
      </c>
    </row>
    <row r="295">
      <c r="A295" t="n">
        <v>9293</v>
      </c>
      <c r="B295" t="inlineStr">
        <is>
          <t>Vend_C</t>
        </is>
      </c>
      <c r="C295" s="13" t="n">
        <v>45482</v>
      </c>
      <c r="D295" s="13" t="n">
        <v>45542</v>
      </c>
      <c r="E295" t="inlineStr">
        <is>
          <t>EUR</t>
        </is>
      </c>
      <c r="F295" t="n">
        <v>1760.15</v>
      </c>
      <c r="G295" t="inlineStr">
        <is>
          <t>Paid</t>
        </is>
      </c>
      <c r="H295" s="13" t="n">
        <v>45552</v>
      </c>
    </row>
    <row r="296">
      <c r="A296" t="n">
        <v>9294</v>
      </c>
      <c r="B296" t="inlineStr">
        <is>
          <t>Vend_B</t>
        </is>
      </c>
      <c r="C296" s="13" t="n">
        <v>45455</v>
      </c>
      <c r="D296" s="13" t="n">
        <v>45485</v>
      </c>
      <c r="E296" t="inlineStr">
        <is>
          <t>EUR</t>
        </is>
      </c>
      <c r="F296" t="n">
        <v>7263.71</v>
      </c>
      <c r="G296" t="inlineStr">
        <is>
          <t>Paid</t>
        </is>
      </c>
      <c r="H296" s="13" t="n">
        <v>45509</v>
      </c>
    </row>
    <row r="297">
      <c r="A297" t="n">
        <v>9295</v>
      </c>
      <c r="B297" t="inlineStr">
        <is>
          <t>Vend_C</t>
        </is>
      </c>
      <c r="C297" s="13" t="n">
        <v>45574</v>
      </c>
      <c r="D297" s="13" t="n">
        <v>45604</v>
      </c>
      <c r="E297" t="inlineStr">
        <is>
          <t>EUR</t>
        </is>
      </c>
      <c r="F297" t="n">
        <v>7228.85</v>
      </c>
      <c r="G297" t="inlineStr">
        <is>
          <t>Paid</t>
        </is>
      </c>
      <c r="H297" s="13" t="n">
        <v>45619</v>
      </c>
    </row>
    <row r="298">
      <c r="A298" t="n">
        <v>9296</v>
      </c>
      <c r="B298" t="inlineStr">
        <is>
          <t>Vend_A</t>
        </is>
      </c>
      <c r="C298" s="13" t="n">
        <v>45542</v>
      </c>
      <c r="D298" s="13" t="n">
        <v>45602</v>
      </c>
      <c r="E298" t="inlineStr">
        <is>
          <t>EUR</t>
        </is>
      </c>
      <c r="F298" t="n">
        <v>10747.27</v>
      </c>
      <c r="G298" t="inlineStr">
        <is>
          <t>Open</t>
        </is>
      </c>
    </row>
    <row r="299">
      <c r="A299" t="n">
        <v>9297</v>
      </c>
      <c r="B299" t="inlineStr">
        <is>
          <t>Vend_C</t>
        </is>
      </c>
      <c r="C299" s="13" t="n">
        <v>45384</v>
      </c>
      <c r="D299" s="13" t="n">
        <v>45414</v>
      </c>
      <c r="E299" t="inlineStr">
        <is>
          <t>EUR</t>
        </is>
      </c>
      <c r="F299" t="n">
        <v>4581.42</v>
      </c>
      <c r="G299" t="inlineStr">
        <is>
          <t>Open</t>
        </is>
      </c>
    </row>
    <row r="300">
      <c r="A300" t="n">
        <v>9298</v>
      </c>
      <c r="B300" t="inlineStr">
        <is>
          <t>Vend_A</t>
        </is>
      </c>
      <c r="C300" s="13" t="n">
        <v>45363</v>
      </c>
      <c r="D300" s="13" t="n">
        <v>45393</v>
      </c>
      <c r="E300" t="inlineStr">
        <is>
          <t>EUR</t>
        </is>
      </c>
      <c r="F300" t="n">
        <v>3195.38</v>
      </c>
      <c r="G300" t="inlineStr">
        <is>
          <t>Paid</t>
        </is>
      </c>
      <c r="H300" s="13" t="n">
        <v>45401</v>
      </c>
    </row>
    <row r="301">
      <c r="A301" t="n">
        <v>9299</v>
      </c>
      <c r="B301" t="inlineStr">
        <is>
          <t>Vend_C</t>
        </is>
      </c>
      <c r="C301" s="13" t="n">
        <v>45537</v>
      </c>
      <c r="D301" s="13" t="n">
        <v>45567</v>
      </c>
      <c r="E301" t="inlineStr">
        <is>
          <t>EUR</t>
        </is>
      </c>
      <c r="F301" t="n">
        <v>1550.87</v>
      </c>
      <c r="G301" t="inlineStr">
        <is>
          <t>Paid</t>
        </is>
      </c>
      <c r="H301" s="13" t="n">
        <v>45591</v>
      </c>
    </row>
    <row r="302">
      <c r="A302" t="n">
        <v>9300</v>
      </c>
      <c r="B302" t="inlineStr">
        <is>
          <t>Vend_A</t>
        </is>
      </c>
      <c r="C302" s="13" t="n">
        <v>45563</v>
      </c>
      <c r="D302" s="13" t="n">
        <v>45623</v>
      </c>
      <c r="E302" t="inlineStr">
        <is>
          <t>EUR</t>
        </is>
      </c>
      <c r="F302" t="n">
        <v>11091.1</v>
      </c>
      <c r="G302" t="inlineStr">
        <is>
          <t>Paid</t>
        </is>
      </c>
      <c r="H302" s="13" t="n">
        <v>45626</v>
      </c>
    </row>
    <row r="303">
      <c r="A303" t="n">
        <v>9301</v>
      </c>
      <c r="B303" t="inlineStr">
        <is>
          <t>Vend_A</t>
        </is>
      </c>
      <c r="C303" s="13" t="n">
        <v>45475</v>
      </c>
      <c r="D303" s="13" t="n">
        <v>45535</v>
      </c>
      <c r="E303" t="inlineStr">
        <is>
          <t>EUR</t>
        </is>
      </c>
      <c r="F303" t="n">
        <v>7545.7</v>
      </c>
      <c r="G303" t="inlineStr">
        <is>
          <t>Paid</t>
        </is>
      </c>
      <c r="H303" s="13" t="n">
        <v>45559</v>
      </c>
    </row>
    <row r="304">
      <c r="A304" t="n">
        <v>9302</v>
      </c>
      <c r="B304" t="inlineStr">
        <is>
          <t>Vend_A</t>
        </is>
      </c>
      <c r="C304" s="13" t="n">
        <v>45508</v>
      </c>
      <c r="D304" s="13" t="n">
        <v>45538</v>
      </c>
      <c r="E304" t="inlineStr">
        <is>
          <t>EUR</t>
        </is>
      </c>
      <c r="F304" t="n">
        <v>5750.63</v>
      </c>
      <c r="G304" t="inlineStr">
        <is>
          <t>Paid</t>
        </is>
      </c>
      <c r="H304" s="13" t="n">
        <v>45562</v>
      </c>
    </row>
    <row r="305">
      <c r="A305" t="n">
        <v>9303</v>
      </c>
      <c r="B305" t="inlineStr">
        <is>
          <t>Vend_A</t>
        </is>
      </c>
      <c r="C305" s="13" t="n">
        <v>45449</v>
      </c>
      <c r="D305" s="13" t="n">
        <v>45509</v>
      </c>
      <c r="E305" t="inlineStr">
        <is>
          <t>EUR</t>
        </is>
      </c>
      <c r="F305" t="n">
        <v>6971.96</v>
      </c>
      <c r="G305" t="inlineStr">
        <is>
          <t>Open</t>
        </is>
      </c>
    </row>
    <row r="306">
      <c r="A306" t="n">
        <v>9304</v>
      </c>
      <c r="B306" t="inlineStr">
        <is>
          <t>Vend_B</t>
        </is>
      </c>
      <c r="C306" s="13" t="n">
        <v>45432</v>
      </c>
      <c r="D306" s="13" t="n">
        <v>45462</v>
      </c>
      <c r="E306" t="inlineStr">
        <is>
          <t>EUR</t>
        </is>
      </c>
      <c r="F306" t="n">
        <v>8747.889999999999</v>
      </c>
      <c r="G306" t="inlineStr">
        <is>
          <t>Paid</t>
        </is>
      </c>
      <c r="H306" s="13" t="n">
        <v>45471</v>
      </c>
    </row>
    <row r="307">
      <c r="A307" t="n">
        <v>9305</v>
      </c>
      <c r="B307" t="inlineStr">
        <is>
          <t>Vend_C</t>
        </is>
      </c>
      <c r="C307" s="13" t="n">
        <v>45466</v>
      </c>
      <c r="D307" s="13" t="n">
        <v>45526</v>
      </c>
      <c r="E307" t="inlineStr">
        <is>
          <t>EUR</t>
        </is>
      </c>
      <c r="F307" t="n">
        <v>3222.08</v>
      </c>
      <c r="G307" t="inlineStr">
        <is>
          <t>Paid</t>
        </is>
      </c>
      <c r="H307" s="13" t="n">
        <v>45531</v>
      </c>
    </row>
    <row r="308">
      <c r="A308" t="n">
        <v>9306</v>
      </c>
      <c r="B308" t="inlineStr">
        <is>
          <t>Vend_A</t>
        </is>
      </c>
      <c r="C308" s="13" t="n">
        <v>45608</v>
      </c>
      <c r="D308" s="13" t="n">
        <v>45638</v>
      </c>
      <c r="E308" t="inlineStr">
        <is>
          <t>EUR</t>
        </is>
      </c>
      <c r="F308" t="n">
        <v>3161.6</v>
      </c>
      <c r="G308" t="inlineStr">
        <is>
          <t>Paid</t>
        </is>
      </c>
      <c r="H308" s="13" t="n">
        <v>45657</v>
      </c>
    </row>
    <row r="309">
      <c r="A309" t="n">
        <v>9307</v>
      </c>
      <c r="B309" t="inlineStr">
        <is>
          <t>Vend_A</t>
        </is>
      </c>
      <c r="C309" s="13" t="n">
        <v>45526</v>
      </c>
      <c r="D309" s="13" t="n">
        <v>45556</v>
      </c>
      <c r="E309" t="inlineStr">
        <is>
          <t>EUR</t>
        </is>
      </c>
      <c r="F309" t="n">
        <v>7737.54</v>
      </c>
      <c r="G309" t="inlineStr">
        <is>
          <t>Paid</t>
        </is>
      </c>
      <c r="H309" s="13" t="n">
        <v>45558</v>
      </c>
    </row>
    <row r="310">
      <c r="A310" t="n">
        <v>9308</v>
      </c>
      <c r="B310" t="inlineStr">
        <is>
          <t>Vend_B</t>
        </is>
      </c>
      <c r="C310" s="13" t="n">
        <v>45415</v>
      </c>
      <c r="D310" s="13" t="n">
        <v>45475</v>
      </c>
      <c r="E310" t="inlineStr">
        <is>
          <t>EUR</t>
        </is>
      </c>
      <c r="F310" t="n">
        <v>2792.53</v>
      </c>
      <c r="G310" t="inlineStr">
        <is>
          <t>Paid</t>
        </is>
      </c>
      <c r="H310" s="13" t="n">
        <v>45489</v>
      </c>
    </row>
    <row r="311">
      <c r="A311" t="n">
        <v>9309</v>
      </c>
      <c r="B311" t="inlineStr">
        <is>
          <t>Vend_C</t>
        </is>
      </c>
      <c r="C311" s="13" t="n">
        <v>45537</v>
      </c>
      <c r="D311" s="13" t="n">
        <v>45567</v>
      </c>
      <c r="E311" t="inlineStr">
        <is>
          <t>EUR</t>
        </is>
      </c>
      <c r="F311" t="n">
        <v>6810.14</v>
      </c>
      <c r="G311" t="inlineStr">
        <is>
          <t>Paid</t>
        </is>
      </c>
      <c r="H311" s="13" t="n">
        <v>45577</v>
      </c>
    </row>
    <row r="312">
      <c r="A312" t="n">
        <v>9310</v>
      </c>
      <c r="B312" t="inlineStr">
        <is>
          <t>Vend_A</t>
        </is>
      </c>
      <c r="C312" s="13" t="n">
        <v>45579</v>
      </c>
      <c r="D312" s="13" t="n">
        <v>45639</v>
      </c>
      <c r="E312" t="inlineStr">
        <is>
          <t>EUR</t>
        </is>
      </c>
      <c r="F312" t="n">
        <v>10683.05</v>
      </c>
      <c r="G312" t="inlineStr">
        <is>
          <t>Paid</t>
        </is>
      </c>
      <c r="H312" s="13" t="n">
        <v>45654</v>
      </c>
    </row>
    <row r="313">
      <c r="A313" t="n">
        <v>9311</v>
      </c>
      <c r="B313" t="inlineStr">
        <is>
          <t>Vend_B</t>
        </is>
      </c>
      <c r="C313" s="13" t="n">
        <v>45400</v>
      </c>
      <c r="D313" s="13" t="n">
        <v>45460</v>
      </c>
      <c r="E313" t="inlineStr">
        <is>
          <t>EUR</t>
        </is>
      </c>
      <c r="F313" t="n">
        <v>5237.94</v>
      </c>
      <c r="G313" t="inlineStr">
        <is>
          <t>Paid</t>
        </is>
      </c>
      <c r="H313" s="13" t="n">
        <v>45462</v>
      </c>
    </row>
    <row r="314">
      <c r="A314" t="n">
        <v>9312</v>
      </c>
      <c r="B314" t="inlineStr">
        <is>
          <t>Vend_C</t>
        </is>
      </c>
      <c r="C314" s="13" t="n">
        <v>45341</v>
      </c>
      <c r="D314" s="13" t="n">
        <v>45371</v>
      </c>
      <c r="E314" t="inlineStr">
        <is>
          <t>EUR</t>
        </is>
      </c>
      <c r="F314" t="n">
        <v>6968.44</v>
      </c>
      <c r="G314" t="inlineStr">
        <is>
          <t>Paid</t>
        </is>
      </c>
      <c r="H314" s="13" t="n">
        <v>45389</v>
      </c>
    </row>
    <row r="315">
      <c r="A315" t="n">
        <v>9313</v>
      </c>
      <c r="B315" t="inlineStr">
        <is>
          <t>Vend_C</t>
        </is>
      </c>
      <c r="C315" s="13" t="n">
        <v>45304</v>
      </c>
      <c r="D315" s="13" t="n">
        <v>45364</v>
      </c>
      <c r="E315" t="inlineStr">
        <is>
          <t>EUR</t>
        </is>
      </c>
      <c r="F315" t="n">
        <v>2403.95</v>
      </c>
      <c r="G315" t="inlineStr">
        <is>
          <t>Open</t>
        </is>
      </c>
    </row>
    <row r="316">
      <c r="A316" t="n">
        <v>9314</v>
      </c>
      <c r="B316" t="inlineStr">
        <is>
          <t>Vend_C</t>
        </is>
      </c>
      <c r="C316" s="13" t="n">
        <v>45452</v>
      </c>
      <c r="D316" s="13" t="n">
        <v>45512</v>
      </c>
      <c r="E316" t="inlineStr">
        <is>
          <t>EUR</t>
        </is>
      </c>
      <c r="F316" t="n">
        <v>2896.72</v>
      </c>
      <c r="G316" t="inlineStr">
        <is>
          <t>Paid</t>
        </is>
      </c>
      <c r="H316" s="13" t="n">
        <v>45536</v>
      </c>
    </row>
    <row r="317">
      <c r="A317" t="n">
        <v>9315</v>
      </c>
      <c r="B317" t="inlineStr">
        <is>
          <t>Vend_B</t>
        </is>
      </c>
      <c r="C317" s="13" t="n">
        <v>45435</v>
      </c>
      <c r="D317" s="13" t="n">
        <v>45465</v>
      </c>
      <c r="E317" t="inlineStr">
        <is>
          <t>JPY</t>
        </is>
      </c>
      <c r="F317" t="n">
        <v>14155.98</v>
      </c>
      <c r="G317" t="inlineStr">
        <is>
          <t>Paid</t>
        </is>
      </c>
      <c r="H317" s="13" t="n">
        <v>45486</v>
      </c>
    </row>
    <row r="318">
      <c r="A318" t="n">
        <v>9316</v>
      </c>
      <c r="B318" t="inlineStr">
        <is>
          <t>Vend_C</t>
        </is>
      </c>
      <c r="C318" s="13" t="n">
        <v>45535</v>
      </c>
      <c r="D318" s="13" t="n">
        <v>45565</v>
      </c>
      <c r="E318" t="inlineStr">
        <is>
          <t>EUR</t>
        </is>
      </c>
      <c r="F318" t="n">
        <v>8499.860000000001</v>
      </c>
      <c r="G318" t="inlineStr">
        <is>
          <t>Paid</t>
        </is>
      </c>
      <c r="H318" s="13" t="n">
        <v>45586</v>
      </c>
    </row>
    <row r="319">
      <c r="A319" t="n">
        <v>9317</v>
      </c>
      <c r="B319" t="inlineStr">
        <is>
          <t>Vend_C</t>
        </is>
      </c>
      <c r="C319" s="13" t="n">
        <v>45600</v>
      </c>
      <c r="D319" s="13" t="n">
        <v>45630</v>
      </c>
      <c r="E319" t="inlineStr">
        <is>
          <t>EUR</t>
        </is>
      </c>
      <c r="F319" t="n">
        <v>6162.45</v>
      </c>
      <c r="G319" t="inlineStr">
        <is>
          <t>Open</t>
        </is>
      </c>
    </row>
    <row r="320">
      <c r="A320" t="n">
        <v>9318</v>
      </c>
      <c r="B320" t="inlineStr">
        <is>
          <t>Vend_B</t>
        </is>
      </c>
      <c r="C320" s="13" t="n">
        <v>45474</v>
      </c>
      <c r="D320" s="13" t="n">
        <v>45504</v>
      </c>
      <c r="E320" t="inlineStr">
        <is>
          <t>JPY</t>
        </is>
      </c>
      <c r="F320" t="n">
        <v>1535.1</v>
      </c>
      <c r="G320" t="inlineStr">
        <is>
          <t>Paid</t>
        </is>
      </c>
      <c r="H320" s="13" t="n">
        <v>45528</v>
      </c>
    </row>
    <row r="321">
      <c r="A321" t="n">
        <v>9319</v>
      </c>
      <c r="B321" t="inlineStr">
        <is>
          <t>Vend_A</t>
        </is>
      </c>
      <c r="C321" s="13" t="n">
        <v>45599</v>
      </c>
      <c r="D321" s="13" t="n">
        <v>45629</v>
      </c>
      <c r="E321" t="inlineStr">
        <is>
          <t>EUR</t>
        </is>
      </c>
      <c r="F321" t="n">
        <v>3672.27</v>
      </c>
      <c r="G321" t="inlineStr">
        <is>
          <t>Paid</t>
        </is>
      </c>
      <c r="H321" s="13" t="n">
        <v>45639</v>
      </c>
    </row>
    <row r="322">
      <c r="A322" t="n">
        <v>9320</v>
      </c>
      <c r="B322" t="inlineStr">
        <is>
          <t>Vend_B</t>
        </is>
      </c>
      <c r="C322" s="13" t="n">
        <v>45656</v>
      </c>
      <c r="D322" s="13" t="n">
        <v>45686</v>
      </c>
      <c r="E322" t="inlineStr">
        <is>
          <t>EUR</t>
        </is>
      </c>
      <c r="F322" t="n">
        <v>4800.96</v>
      </c>
      <c r="G322" t="inlineStr">
        <is>
          <t>Paid</t>
        </is>
      </c>
      <c r="H322" s="13" t="n">
        <v>45687</v>
      </c>
    </row>
    <row r="323">
      <c r="A323" t="n">
        <v>9321</v>
      </c>
      <c r="B323" t="inlineStr">
        <is>
          <t>Vend_B</t>
        </is>
      </c>
      <c r="C323" s="13" t="n">
        <v>45633</v>
      </c>
      <c r="D323" s="13" t="n">
        <v>45693</v>
      </c>
      <c r="E323" t="inlineStr">
        <is>
          <t>EUR</t>
        </is>
      </c>
      <c r="F323" t="n">
        <v>8247.74</v>
      </c>
      <c r="G323" t="inlineStr">
        <is>
          <t>Paid</t>
        </is>
      </c>
      <c r="H323" s="13" t="n">
        <v>45715</v>
      </c>
    </row>
    <row r="324">
      <c r="A324" t="n">
        <v>9322</v>
      </c>
      <c r="B324" t="inlineStr">
        <is>
          <t>Vend_A</t>
        </is>
      </c>
      <c r="C324" s="13" t="n">
        <v>45503</v>
      </c>
      <c r="D324" s="13" t="n">
        <v>45563</v>
      </c>
      <c r="E324" t="inlineStr">
        <is>
          <t>EUR</t>
        </is>
      </c>
      <c r="F324" t="n">
        <v>20071.38</v>
      </c>
      <c r="G324" t="inlineStr">
        <is>
          <t>Paid</t>
        </is>
      </c>
      <c r="H324" s="13" t="n">
        <v>45578</v>
      </c>
    </row>
    <row r="325">
      <c r="A325" t="n">
        <v>9323</v>
      </c>
      <c r="B325" t="inlineStr">
        <is>
          <t>Vend_B</t>
        </is>
      </c>
      <c r="C325" s="13" t="n">
        <v>45431</v>
      </c>
      <c r="D325" s="13" t="n">
        <v>45491</v>
      </c>
      <c r="E325" t="inlineStr">
        <is>
          <t>EUR</t>
        </is>
      </c>
      <c r="F325" t="n">
        <v>10948.11</v>
      </c>
      <c r="G325" t="inlineStr">
        <is>
          <t>Overdue</t>
        </is>
      </c>
    </row>
    <row r="326">
      <c r="A326" t="n">
        <v>9324</v>
      </c>
      <c r="B326" t="inlineStr">
        <is>
          <t>Vend_B</t>
        </is>
      </c>
      <c r="C326" s="13" t="n">
        <v>45542</v>
      </c>
      <c r="D326" s="13" t="n">
        <v>45602</v>
      </c>
      <c r="E326" t="inlineStr">
        <is>
          <t>EUR</t>
        </is>
      </c>
      <c r="F326" t="n">
        <v>3118.13</v>
      </c>
      <c r="G326" t="inlineStr">
        <is>
          <t>Open</t>
        </is>
      </c>
    </row>
    <row r="327">
      <c r="A327" t="n">
        <v>9325</v>
      </c>
      <c r="B327" t="inlineStr">
        <is>
          <t>Vend_C</t>
        </is>
      </c>
      <c r="C327" s="13" t="n">
        <v>45645</v>
      </c>
      <c r="D327" s="13" t="n">
        <v>45705</v>
      </c>
      <c r="E327" t="inlineStr">
        <is>
          <t>EUR</t>
        </is>
      </c>
      <c r="F327" t="n">
        <v>7494.84</v>
      </c>
      <c r="G327" t="inlineStr">
        <is>
          <t>Paid</t>
        </is>
      </c>
      <c r="H327" s="13" t="n">
        <v>45725</v>
      </c>
    </row>
    <row r="328">
      <c r="A328" t="n">
        <v>9326</v>
      </c>
      <c r="B328" t="inlineStr">
        <is>
          <t>Vend_B</t>
        </is>
      </c>
      <c r="C328" s="13" t="n">
        <v>45640</v>
      </c>
      <c r="D328" s="13" t="n">
        <v>45700</v>
      </c>
      <c r="E328" t="inlineStr">
        <is>
          <t>EUR</t>
        </is>
      </c>
      <c r="F328" t="n">
        <v>1242.2</v>
      </c>
      <c r="G328" t="inlineStr">
        <is>
          <t>Paid</t>
        </is>
      </c>
      <c r="H328" s="13" t="n">
        <v>45712</v>
      </c>
    </row>
    <row r="329">
      <c r="A329" t="n">
        <v>9327</v>
      </c>
      <c r="B329" t="inlineStr">
        <is>
          <t>Vend_A</t>
        </is>
      </c>
      <c r="C329" s="13" t="n">
        <v>45353</v>
      </c>
      <c r="D329" s="13" t="n">
        <v>45413</v>
      </c>
      <c r="E329" t="inlineStr">
        <is>
          <t>EUR</t>
        </is>
      </c>
      <c r="F329" t="n">
        <v>6906.82</v>
      </c>
      <c r="G329" t="inlineStr">
        <is>
          <t>Paid</t>
        </is>
      </c>
      <c r="H329" s="13" t="n">
        <v>45436</v>
      </c>
    </row>
    <row r="330">
      <c r="A330" t="n">
        <v>9328</v>
      </c>
      <c r="B330" t="inlineStr">
        <is>
          <t>Vend_C</t>
        </is>
      </c>
      <c r="C330" s="13" t="n">
        <v>45568</v>
      </c>
      <c r="D330" s="13" t="n">
        <v>45628</v>
      </c>
      <c r="E330" t="inlineStr">
        <is>
          <t>EUR</t>
        </is>
      </c>
      <c r="F330" t="n">
        <v>6776.5</v>
      </c>
      <c r="G330" t="inlineStr">
        <is>
          <t>Open</t>
        </is>
      </c>
    </row>
    <row r="331">
      <c r="A331" t="n">
        <v>9329</v>
      </c>
      <c r="B331" t="inlineStr">
        <is>
          <t>Vend_A</t>
        </is>
      </c>
      <c r="C331" s="13" t="n">
        <v>45327</v>
      </c>
      <c r="D331" s="13" t="n">
        <v>45387</v>
      </c>
      <c r="E331" t="inlineStr">
        <is>
          <t>EUR</t>
        </is>
      </c>
      <c r="F331" t="n">
        <v>6364.74</v>
      </c>
      <c r="G331" t="inlineStr">
        <is>
          <t>Paid</t>
        </is>
      </c>
      <c r="H331" s="13" t="n">
        <v>45392</v>
      </c>
    </row>
    <row r="332">
      <c r="A332" t="n">
        <v>9330</v>
      </c>
      <c r="B332" t="inlineStr">
        <is>
          <t>Vend_C</t>
        </is>
      </c>
      <c r="C332" s="13" t="n">
        <v>45451</v>
      </c>
      <c r="D332" s="13" t="n">
        <v>45511</v>
      </c>
      <c r="E332" t="inlineStr">
        <is>
          <t>EUR</t>
        </is>
      </c>
      <c r="F332" t="n">
        <v>5223.51</v>
      </c>
      <c r="G332" t="inlineStr">
        <is>
          <t>Paid</t>
        </is>
      </c>
      <c r="H332" s="13" t="n">
        <v>45532</v>
      </c>
    </row>
    <row r="333">
      <c r="A333" t="n">
        <v>9331</v>
      </c>
      <c r="B333" t="inlineStr">
        <is>
          <t>Vend_A</t>
        </is>
      </c>
      <c r="C333" s="13" t="n">
        <v>45601</v>
      </c>
      <c r="D333" s="13" t="n">
        <v>45631</v>
      </c>
      <c r="E333" t="inlineStr">
        <is>
          <t>EUR</t>
        </is>
      </c>
      <c r="F333" t="n">
        <v>1456.13</v>
      </c>
      <c r="G333" t="inlineStr">
        <is>
          <t>Paid</t>
        </is>
      </c>
      <c r="H333" s="13" t="n">
        <v>45649</v>
      </c>
    </row>
    <row r="334">
      <c r="A334" t="n">
        <v>9332</v>
      </c>
      <c r="B334" t="inlineStr">
        <is>
          <t>Vend_A</t>
        </is>
      </c>
      <c r="C334" s="13" t="n">
        <v>45482</v>
      </c>
      <c r="D334" s="13" t="n">
        <v>45512</v>
      </c>
      <c r="E334" t="inlineStr">
        <is>
          <t>EUR</t>
        </is>
      </c>
      <c r="F334" t="n">
        <v>6470.16</v>
      </c>
      <c r="G334" t="inlineStr">
        <is>
          <t>Paid</t>
        </is>
      </c>
      <c r="H334" s="13" t="n">
        <v>45527</v>
      </c>
    </row>
    <row r="335">
      <c r="A335" t="n">
        <v>9333</v>
      </c>
      <c r="B335" t="inlineStr">
        <is>
          <t>Vend_B</t>
        </is>
      </c>
      <c r="C335" s="13" t="n">
        <v>45631</v>
      </c>
      <c r="D335" s="13" t="n">
        <v>45661</v>
      </c>
      <c r="E335" t="inlineStr">
        <is>
          <t>EUR</t>
        </is>
      </c>
      <c r="F335" t="n">
        <v>3422.01</v>
      </c>
      <c r="G335" t="inlineStr">
        <is>
          <t>Paid</t>
        </is>
      </c>
      <c r="H335" s="13" t="n">
        <v>45681</v>
      </c>
    </row>
    <row r="336">
      <c r="A336" t="n">
        <v>9334</v>
      </c>
      <c r="B336" t="inlineStr">
        <is>
          <t>Vend_B</t>
        </is>
      </c>
      <c r="C336" s="13" t="n">
        <v>45603</v>
      </c>
      <c r="D336" s="13" t="n">
        <v>45633</v>
      </c>
      <c r="E336" t="inlineStr">
        <is>
          <t>JPY</t>
        </is>
      </c>
      <c r="F336" t="n">
        <v>533.74</v>
      </c>
      <c r="G336" t="inlineStr">
        <is>
          <t>Paid</t>
        </is>
      </c>
      <c r="H336" s="13" t="n">
        <v>45654</v>
      </c>
    </row>
    <row r="337">
      <c r="A337" t="n">
        <v>9335</v>
      </c>
      <c r="B337" t="inlineStr">
        <is>
          <t>Vend_A</t>
        </is>
      </c>
      <c r="C337" s="13" t="n">
        <v>45565</v>
      </c>
      <c r="D337" s="13" t="n">
        <v>45625</v>
      </c>
      <c r="E337" t="inlineStr">
        <is>
          <t>EUR</t>
        </is>
      </c>
      <c r="F337" t="n">
        <v>1319.92</v>
      </c>
      <c r="G337" t="inlineStr">
        <is>
          <t>Overdue</t>
        </is>
      </c>
    </row>
    <row r="338">
      <c r="A338" t="n">
        <v>9336</v>
      </c>
      <c r="B338" t="inlineStr">
        <is>
          <t>Vend_B</t>
        </is>
      </c>
      <c r="C338" s="13" t="n">
        <v>45534</v>
      </c>
      <c r="D338" s="13" t="n">
        <v>45594</v>
      </c>
      <c r="E338" t="inlineStr">
        <is>
          <t>EUR</t>
        </is>
      </c>
      <c r="F338" t="n">
        <v>6632.26</v>
      </c>
      <c r="G338" t="inlineStr">
        <is>
          <t>Open</t>
        </is>
      </c>
    </row>
    <row r="339">
      <c r="A339" t="n">
        <v>9337</v>
      </c>
      <c r="B339" t="inlineStr">
        <is>
          <t>Vend_B</t>
        </is>
      </c>
      <c r="C339" s="13" t="n">
        <v>45536</v>
      </c>
      <c r="D339" s="13" t="n">
        <v>45596</v>
      </c>
      <c r="E339" t="inlineStr">
        <is>
          <t>EUR</t>
        </is>
      </c>
      <c r="F339" t="n">
        <v>11856.31</v>
      </c>
      <c r="G339" t="inlineStr">
        <is>
          <t>Paid</t>
        </is>
      </c>
      <c r="H339" s="13" t="n">
        <v>45620</v>
      </c>
    </row>
    <row r="340">
      <c r="A340" t="n">
        <v>9338</v>
      </c>
      <c r="B340" t="inlineStr">
        <is>
          <t>Vend_A</t>
        </is>
      </c>
      <c r="C340" s="13" t="n">
        <v>45301</v>
      </c>
      <c r="D340" s="13" t="n">
        <v>45331</v>
      </c>
      <c r="E340" t="inlineStr">
        <is>
          <t>EUR</t>
        </is>
      </c>
      <c r="F340" t="n">
        <v>2528.34</v>
      </c>
      <c r="G340" t="inlineStr">
        <is>
          <t>Paid</t>
        </is>
      </c>
      <c r="H340" s="13" t="n">
        <v>45352</v>
      </c>
    </row>
    <row r="341">
      <c r="A341" t="n">
        <v>9339</v>
      </c>
      <c r="B341" t="inlineStr">
        <is>
          <t>Vend_C</t>
        </is>
      </c>
      <c r="C341" s="13" t="n">
        <v>45544</v>
      </c>
      <c r="D341" s="13" t="n">
        <v>45604</v>
      </c>
      <c r="E341" t="inlineStr">
        <is>
          <t>USD</t>
        </is>
      </c>
      <c r="F341" t="n">
        <v>3295.09</v>
      </c>
      <c r="G341" t="inlineStr">
        <is>
          <t>Open</t>
        </is>
      </c>
    </row>
    <row r="342">
      <c r="A342" t="n">
        <v>9340</v>
      </c>
      <c r="B342" t="inlineStr">
        <is>
          <t>Vend_C</t>
        </is>
      </c>
      <c r="C342" s="13" t="n">
        <v>45427</v>
      </c>
      <c r="D342" s="13" t="n">
        <v>45457</v>
      </c>
      <c r="E342" t="inlineStr">
        <is>
          <t>EUR</t>
        </is>
      </c>
      <c r="F342" t="n">
        <v>9513.719999999999</v>
      </c>
      <c r="G342" t="inlineStr">
        <is>
          <t>Open</t>
        </is>
      </c>
    </row>
    <row r="343">
      <c r="A343" t="n">
        <v>9341</v>
      </c>
      <c r="B343" t="inlineStr">
        <is>
          <t>Vend_B</t>
        </is>
      </c>
      <c r="C343" s="13" t="n">
        <v>45348</v>
      </c>
      <c r="D343" s="13" t="n">
        <v>45378</v>
      </c>
      <c r="E343" t="inlineStr">
        <is>
          <t>EUR</t>
        </is>
      </c>
      <c r="F343" t="n">
        <v>1105.48</v>
      </c>
      <c r="G343" t="inlineStr">
        <is>
          <t>Paid</t>
        </is>
      </c>
      <c r="H343" s="13" t="n">
        <v>45387</v>
      </c>
    </row>
    <row r="344">
      <c r="A344" t="n">
        <v>9342</v>
      </c>
      <c r="B344" t="inlineStr">
        <is>
          <t>Vend_B</t>
        </is>
      </c>
      <c r="C344" s="13" t="n">
        <v>45535</v>
      </c>
      <c r="D344" s="13" t="n">
        <v>45595</v>
      </c>
      <c r="E344" t="inlineStr">
        <is>
          <t>EUR</t>
        </is>
      </c>
      <c r="F344" t="n">
        <v>2651.15</v>
      </c>
      <c r="G344" t="inlineStr">
        <is>
          <t>Open</t>
        </is>
      </c>
    </row>
    <row r="345">
      <c r="A345" t="n">
        <v>9343</v>
      </c>
      <c r="B345" t="inlineStr">
        <is>
          <t>Vend_B</t>
        </is>
      </c>
      <c r="C345" s="13" t="n">
        <v>45514</v>
      </c>
      <c r="D345" s="13" t="n">
        <v>45544</v>
      </c>
      <c r="E345" t="inlineStr">
        <is>
          <t>EUR</t>
        </is>
      </c>
      <c r="F345" t="n">
        <v>4648.27</v>
      </c>
      <c r="G345" t="inlineStr">
        <is>
          <t>Paid</t>
        </is>
      </c>
      <c r="H345" s="13" t="n">
        <v>45559</v>
      </c>
    </row>
    <row r="346">
      <c r="A346" t="n">
        <v>9344</v>
      </c>
      <c r="B346" t="inlineStr">
        <is>
          <t>Vend_C</t>
        </is>
      </c>
      <c r="C346" s="13" t="n">
        <v>45584</v>
      </c>
      <c r="D346" s="13" t="n">
        <v>45644</v>
      </c>
      <c r="E346" t="inlineStr">
        <is>
          <t>EUR</t>
        </is>
      </c>
      <c r="F346" t="n">
        <v>1874.42</v>
      </c>
      <c r="G346" t="inlineStr">
        <is>
          <t>Paid</t>
        </is>
      </c>
      <c r="H346" s="13" t="n">
        <v>45659</v>
      </c>
    </row>
    <row r="347">
      <c r="A347" t="n">
        <v>9345</v>
      </c>
      <c r="B347" t="inlineStr">
        <is>
          <t>Vend_A</t>
        </is>
      </c>
      <c r="C347" s="13" t="n">
        <v>45307</v>
      </c>
      <c r="D347" s="13" t="n">
        <v>45337</v>
      </c>
      <c r="E347" t="inlineStr">
        <is>
          <t>EUR</t>
        </is>
      </c>
      <c r="F347" t="n">
        <v>5572.89</v>
      </c>
      <c r="G347" t="inlineStr">
        <is>
          <t>Paid</t>
        </is>
      </c>
      <c r="H347" s="13" t="n">
        <v>45342</v>
      </c>
    </row>
    <row r="348">
      <c r="A348" t="n">
        <v>9346</v>
      </c>
      <c r="B348" t="inlineStr">
        <is>
          <t>Vend_B</t>
        </is>
      </c>
      <c r="C348" s="13" t="n">
        <v>45607</v>
      </c>
      <c r="D348" s="13" t="n">
        <v>45637</v>
      </c>
      <c r="E348" t="inlineStr">
        <is>
          <t>EUR</t>
        </is>
      </c>
      <c r="F348" t="n">
        <v>4466.47</v>
      </c>
      <c r="G348" t="inlineStr">
        <is>
          <t>Open</t>
        </is>
      </c>
    </row>
    <row r="349">
      <c r="A349" t="n">
        <v>9347</v>
      </c>
      <c r="B349" t="inlineStr">
        <is>
          <t>Vend_B</t>
        </is>
      </c>
      <c r="C349" s="13" t="n">
        <v>45523</v>
      </c>
      <c r="D349" s="13" t="n">
        <v>45583</v>
      </c>
      <c r="E349" t="inlineStr">
        <is>
          <t>EUR</t>
        </is>
      </c>
      <c r="F349" t="n">
        <v>6514.54</v>
      </c>
      <c r="G349" t="inlineStr">
        <is>
          <t>Overdue</t>
        </is>
      </c>
    </row>
    <row r="350">
      <c r="A350" t="n">
        <v>9348</v>
      </c>
      <c r="B350" t="inlineStr">
        <is>
          <t>Vend_A</t>
        </is>
      </c>
      <c r="C350" s="13" t="n">
        <v>45554</v>
      </c>
      <c r="D350" s="13" t="n">
        <v>45614</v>
      </c>
      <c r="E350" t="inlineStr">
        <is>
          <t>EUR</t>
        </is>
      </c>
      <c r="F350" t="n">
        <v>5665.29</v>
      </c>
      <c r="G350" t="inlineStr">
        <is>
          <t>Open</t>
        </is>
      </c>
    </row>
    <row r="351">
      <c r="A351" t="n">
        <v>9349</v>
      </c>
      <c r="B351" t="inlineStr">
        <is>
          <t>Vend_C</t>
        </is>
      </c>
      <c r="C351" s="13" t="n">
        <v>45385</v>
      </c>
      <c r="D351" s="13" t="n">
        <v>45415</v>
      </c>
      <c r="E351" t="inlineStr">
        <is>
          <t>EUR</t>
        </is>
      </c>
      <c r="F351" t="n">
        <v>15016.31</v>
      </c>
      <c r="G351" t="inlineStr">
        <is>
          <t>Paid</t>
        </is>
      </c>
      <c r="H351" s="13" t="n">
        <v>45431</v>
      </c>
    </row>
    <row r="352">
      <c r="A352" t="n">
        <v>9350</v>
      </c>
      <c r="B352" t="inlineStr">
        <is>
          <t>Vend_C</t>
        </is>
      </c>
      <c r="C352" s="13" t="n">
        <v>45310</v>
      </c>
      <c r="D352" s="13" t="n">
        <v>45340</v>
      </c>
      <c r="E352" t="inlineStr">
        <is>
          <t>EUR</t>
        </is>
      </c>
      <c r="F352" t="n">
        <v>8540.43</v>
      </c>
      <c r="G352" t="inlineStr">
        <is>
          <t>Open</t>
        </is>
      </c>
    </row>
    <row r="353">
      <c r="A353" t="n">
        <v>9351</v>
      </c>
      <c r="B353" t="inlineStr">
        <is>
          <t>Vend_C</t>
        </is>
      </c>
      <c r="C353" s="13" t="n">
        <v>45442</v>
      </c>
      <c r="D353" s="13" t="n">
        <v>45472</v>
      </c>
      <c r="E353" t="inlineStr">
        <is>
          <t>EUR</t>
        </is>
      </c>
      <c r="F353" t="n">
        <v>3020.74</v>
      </c>
      <c r="G353" t="inlineStr">
        <is>
          <t>Open</t>
        </is>
      </c>
    </row>
    <row r="354">
      <c r="A354" t="n">
        <v>9352</v>
      </c>
      <c r="B354" t="inlineStr">
        <is>
          <t>Vend_C</t>
        </is>
      </c>
      <c r="C354" s="13" t="n">
        <v>45558</v>
      </c>
      <c r="D354" s="13" t="n">
        <v>45588</v>
      </c>
      <c r="E354" t="inlineStr">
        <is>
          <t>EUR</t>
        </is>
      </c>
      <c r="F354" t="n">
        <v>11723.9</v>
      </c>
      <c r="G354" t="inlineStr">
        <is>
          <t>Paid</t>
        </is>
      </c>
      <c r="H354" s="13" t="n">
        <v>45595</v>
      </c>
    </row>
    <row r="355">
      <c r="A355" t="n">
        <v>9353</v>
      </c>
      <c r="B355" t="inlineStr">
        <is>
          <t>Vend_B</t>
        </is>
      </c>
      <c r="C355" s="13" t="n">
        <v>45324</v>
      </c>
      <c r="D355" s="13" t="n">
        <v>45384</v>
      </c>
      <c r="E355" t="inlineStr">
        <is>
          <t>EUR</t>
        </is>
      </c>
      <c r="F355" t="n">
        <v>11331.49</v>
      </c>
      <c r="G355" t="inlineStr">
        <is>
          <t>Paid</t>
        </is>
      </c>
      <c r="H355" s="13" t="n">
        <v>45395</v>
      </c>
    </row>
    <row r="356">
      <c r="A356" t="n">
        <v>9354</v>
      </c>
      <c r="B356" t="inlineStr">
        <is>
          <t>Vend_A</t>
        </is>
      </c>
      <c r="C356" s="13" t="n">
        <v>45381</v>
      </c>
      <c r="D356" s="13" t="n">
        <v>45411</v>
      </c>
      <c r="E356" t="inlineStr">
        <is>
          <t>EUR</t>
        </is>
      </c>
      <c r="F356" t="n">
        <v>286.31</v>
      </c>
      <c r="G356" t="inlineStr">
        <is>
          <t>Overdue</t>
        </is>
      </c>
    </row>
    <row r="357">
      <c r="A357" t="n">
        <v>9355</v>
      </c>
      <c r="B357" t="inlineStr">
        <is>
          <t>Vend_C</t>
        </is>
      </c>
      <c r="C357" s="13" t="n">
        <v>45476</v>
      </c>
      <c r="D357" s="13" t="n">
        <v>45506</v>
      </c>
      <c r="E357" t="inlineStr">
        <is>
          <t>JPY</t>
        </is>
      </c>
      <c r="F357" t="n">
        <v>3362.47</v>
      </c>
      <c r="G357" t="inlineStr">
        <is>
          <t>Paid</t>
        </is>
      </c>
      <c r="H357" s="13" t="n">
        <v>45506</v>
      </c>
    </row>
    <row r="358">
      <c r="A358" t="n">
        <v>9356</v>
      </c>
      <c r="B358" t="inlineStr">
        <is>
          <t>Vend_B</t>
        </is>
      </c>
      <c r="C358" s="13" t="n">
        <v>45585</v>
      </c>
      <c r="D358" s="13" t="n">
        <v>45645</v>
      </c>
      <c r="E358" t="inlineStr">
        <is>
          <t>EUR</t>
        </is>
      </c>
      <c r="F358" t="n">
        <v>13127.81</v>
      </c>
      <c r="G358" t="inlineStr">
        <is>
          <t>Paid</t>
        </is>
      </c>
      <c r="H358" s="13" t="n">
        <v>45646</v>
      </c>
    </row>
    <row r="359">
      <c r="A359" t="n">
        <v>9357</v>
      </c>
      <c r="B359" t="inlineStr">
        <is>
          <t>Vend_C</t>
        </is>
      </c>
      <c r="C359" s="13" t="n">
        <v>45543</v>
      </c>
      <c r="D359" s="13" t="n">
        <v>45573</v>
      </c>
      <c r="E359" t="inlineStr">
        <is>
          <t>EUR</t>
        </is>
      </c>
      <c r="F359" t="n">
        <v>10496.25</v>
      </c>
      <c r="G359" t="inlineStr">
        <is>
          <t>Paid</t>
        </is>
      </c>
      <c r="H359" s="13" t="n">
        <v>45574</v>
      </c>
    </row>
    <row r="360">
      <c r="A360" t="n">
        <v>9358</v>
      </c>
      <c r="B360" t="inlineStr">
        <is>
          <t>Vend_B</t>
        </is>
      </c>
      <c r="C360" s="13" t="n">
        <v>45617</v>
      </c>
      <c r="D360" s="13" t="n">
        <v>45677</v>
      </c>
      <c r="E360" t="inlineStr">
        <is>
          <t>EUR</t>
        </is>
      </c>
      <c r="F360" t="n">
        <v>15316.39</v>
      </c>
      <c r="G360" t="inlineStr">
        <is>
          <t>Open</t>
        </is>
      </c>
    </row>
    <row r="361">
      <c r="A361" t="n">
        <v>9359</v>
      </c>
      <c r="B361" t="inlineStr">
        <is>
          <t>Vend_A</t>
        </is>
      </c>
      <c r="C361" s="13" t="n">
        <v>45543</v>
      </c>
      <c r="D361" s="13" t="n">
        <v>45573</v>
      </c>
      <c r="E361" t="inlineStr">
        <is>
          <t>EUR</t>
        </is>
      </c>
      <c r="F361" t="n">
        <v>7937.04</v>
      </c>
      <c r="G361" t="inlineStr">
        <is>
          <t>Paid</t>
        </is>
      </c>
      <c r="H361" s="13" t="n">
        <v>45573</v>
      </c>
    </row>
    <row r="362">
      <c r="A362" t="n">
        <v>9360</v>
      </c>
      <c r="B362" t="inlineStr">
        <is>
          <t>Vend_A</t>
        </is>
      </c>
      <c r="C362" s="13" t="n">
        <v>45384</v>
      </c>
      <c r="D362" s="13" t="n">
        <v>45444</v>
      </c>
      <c r="E362" t="inlineStr">
        <is>
          <t>EUR</t>
        </is>
      </c>
      <c r="F362" t="n">
        <v>6917.08</v>
      </c>
      <c r="G362" t="inlineStr">
        <is>
          <t>Paid</t>
        </is>
      </c>
      <c r="H362" s="13" t="n">
        <v>45446</v>
      </c>
    </row>
    <row r="363">
      <c r="A363" t="n">
        <v>9361</v>
      </c>
      <c r="B363" t="inlineStr">
        <is>
          <t>Vend_A</t>
        </is>
      </c>
      <c r="C363" s="13" t="n">
        <v>45296</v>
      </c>
      <c r="D363" s="13" t="n">
        <v>45326</v>
      </c>
      <c r="E363" t="inlineStr">
        <is>
          <t>EUR</t>
        </is>
      </c>
      <c r="F363" t="n">
        <v>4410.83</v>
      </c>
      <c r="G363" t="inlineStr">
        <is>
          <t>Open</t>
        </is>
      </c>
    </row>
    <row r="364">
      <c r="A364" t="n">
        <v>9362</v>
      </c>
      <c r="B364" t="inlineStr">
        <is>
          <t>Vend_A</t>
        </is>
      </c>
      <c r="C364" s="13" t="n">
        <v>45493</v>
      </c>
      <c r="D364" s="13" t="n">
        <v>45523</v>
      </c>
      <c r="E364" t="inlineStr">
        <is>
          <t>EUR</t>
        </is>
      </c>
      <c r="F364" t="n">
        <v>17308.62</v>
      </c>
      <c r="G364" t="inlineStr">
        <is>
          <t>Paid</t>
        </is>
      </c>
      <c r="H364" s="13" t="n">
        <v>45526</v>
      </c>
    </row>
    <row r="365">
      <c r="A365" t="n">
        <v>9363</v>
      </c>
      <c r="B365" t="inlineStr">
        <is>
          <t>Vend_A</t>
        </is>
      </c>
      <c r="C365" s="13" t="n">
        <v>45429</v>
      </c>
      <c r="D365" s="13" t="n">
        <v>45489</v>
      </c>
      <c r="E365" t="inlineStr">
        <is>
          <t>EUR</t>
        </is>
      </c>
      <c r="F365" t="n">
        <v>10285.99</v>
      </c>
      <c r="G365" t="inlineStr">
        <is>
          <t>Open</t>
        </is>
      </c>
    </row>
    <row r="366">
      <c r="A366" t="n">
        <v>9364</v>
      </c>
      <c r="B366" t="inlineStr">
        <is>
          <t>Vend_C</t>
        </is>
      </c>
      <c r="C366" s="13" t="n">
        <v>45418</v>
      </c>
      <c r="D366" s="13" t="n">
        <v>45448</v>
      </c>
      <c r="E366" t="inlineStr">
        <is>
          <t>EUR</t>
        </is>
      </c>
      <c r="F366" t="n">
        <v>12850.4</v>
      </c>
      <c r="G366" t="inlineStr">
        <is>
          <t>Paid</t>
        </is>
      </c>
      <c r="H366" s="13" t="n">
        <v>45465</v>
      </c>
    </row>
    <row r="367">
      <c r="A367" t="n">
        <v>9365</v>
      </c>
      <c r="B367" t="inlineStr">
        <is>
          <t>Vend_C</t>
        </is>
      </c>
      <c r="C367" s="13" t="n">
        <v>45638</v>
      </c>
      <c r="D367" s="13" t="n">
        <v>45668</v>
      </c>
      <c r="E367" t="inlineStr">
        <is>
          <t>EUR</t>
        </is>
      </c>
      <c r="F367" t="n">
        <v>5221.33</v>
      </c>
      <c r="G367" t="inlineStr">
        <is>
          <t>Overdue</t>
        </is>
      </c>
    </row>
    <row r="368">
      <c r="A368" t="n">
        <v>9366</v>
      </c>
      <c r="B368" t="inlineStr">
        <is>
          <t>Vend_C</t>
        </is>
      </c>
      <c r="C368" s="13" t="n">
        <v>45446</v>
      </c>
      <c r="D368" s="13" t="n">
        <v>45476</v>
      </c>
      <c r="E368" t="inlineStr">
        <is>
          <t>JPY</t>
        </is>
      </c>
      <c r="F368" t="n">
        <v>4852.62</v>
      </c>
      <c r="G368" t="inlineStr">
        <is>
          <t>Paid</t>
        </is>
      </c>
      <c r="H368" s="13" t="n">
        <v>45480</v>
      </c>
    </row>
    <row r="369">
      <c r="A369" t="n">
        <v>9367</v>
      </c>
      <c r="B369" t="inlineStr">
        <is>
          <t>Vend_A</t>
        </is>
      </c>
      <c r="C369" s="13" t="n">
        <v>45336</v>
      </c>
      <c r="D369" s="13" t="n">
        <v>45396</v>
      </c>
      <c r="E369" t="inlineStr">
        <is>
          <t>EUR</t>
        </is>
      </c>
      <c r="F369" t="n">
        <v>2254.75</v>
      </c>
      <c r="G369" t="inlineStr">
        <is>
          <t>Paid</t>
        </is>
      </c>
      <c r="H369" s="13" t="n">
        <v>45404</v>
      </c>
    </row>
    <row r="370">
      <c r="A370" t="n">
        <v>9368</v>
      </c>
      <c r="B370" t="inlineStr">
        <is>
          <t>Vend_B</t>
        </is>
      </c>
      <c r="C370" s="13" t="n">
        <v>45563</v>
      </c>
      <c r="D370" s="13" t="n">
        <v>45623</v>
      </c>
      <c r="E370" t="inlineStr">
        <is>
          <t>USD</t>
        </is>
      </c>
      <c r="F370" t="n">
        <v>6893.93</v>
      </c>
      <c r="G370" t="inlineStr">
        <is>
          <t>Paid</t>
        </is>
      </c>
      <c r="H370" s="13" t="n">
        <v>45627</v>
      </c>
    </row>
    <row r="371">
      <c r="A371" t="n">
        <v>9369</v>
      </c>
      <c r="B371" t="inlineStr">
        <is>
          <t>Vend_B</t>
        </is>
      </c>
      <c r="C371" s="13" t="n">
        <v>45473</v>
      </c>
      <c r="D371" s="13" t="n">
        <v>45533</v>
      </c>
      <c r="E371" t="inlineStr">
        <is>
          <t>EUR</t>
        </is>
      </c>
      <c r="F371" t="n">
        <v>2744.39</v>
      </c>
      <c r="G371" t="inlineStr">
        <is>
          <t>Overdue</t>
        </is>
      </c>
    </row>
    <row r="372">
      <c r="A372" t="n">
        <v>9370</v>
      </c>
      <c r="B372" t="inlineStr">
        <is>
          <t>Vend_B</t>
        </is>
      </c>
      <c r="C372" s="13" t="n">
        <v>45586</v>
      </c>
      <c r="D372" s="13" t="n">
        <v>45616</v>
      </c>
      <c r="E372" t="inlineStr">
        <is>
          <t>EUR</t>
        </is>
      </c>
      <c r="F372" t="n">
        <v>4303.67</v>
      </c>
      <c r="G372" t="inlineStr">
        <is>
          <t>Open</t>
        </is>
      </c>
    </row>
    <row r="373">
      <c r="A373" t="n">
        <v>9371</v>
      </c>
      <c r="B373" t="inlineStr">
        <is>
          <t>Vend_B</t>
        </is>
      </c>
      <c r="C373" s="13" t="n">
        <v>45590</v>
      </c>
      <c r="D373" s="13" t="n">
        <v>45620</v>
      </c>
      <c r="E373" t="inlineStr">
        <is>
          <t>EUR</t>
        </is>
      </c>
      <c r="F373" t="n">
        <v>3914.32</v>
      </c>
      <c r="G373" t="inlineStr">
        <is>
          <t>Paid</t>
        </is>
      </c>
      <c r="H373" s="13" t="n">
        <v>45632</v>
      </c>
    </row>
    <row r="374">
      <c r="A374" t="n">
        <v>9372</v>
      </c>
      <c r="B374" t="inlineStr">
        <is>
          <t>Vend_C</t>
        </is>
      </c>
      <c r="C374" s="13" t="n">
        <v>45426</v>
      </c>
      <c r="D374" s="13" t="n">
        <v>45486</v>
      </c>
      <c r="E374" t="inlineStr">
        <is>
          <t>EUR</t>
        </is>
      </c>
      <c r="F374" t="n">
        <v>8611.76</v>
      </c>
      <c r="G374" t="inlineStr">
        <is>
          <t>Paid</t>
        </is>
      </c>
      <c r="H374" s="13" t="n">
        <v>45508</v>
      </c>
    </row>
    <row r="375">
      <c r="A375" t="n">
        <v>9373</v>
      </c>
      <c r="B375" t="inlineStr">
        <is>
          <t>Vend_B</t>
        </is>
      </c>
      <c r="C375" s="13" t="n">
        <v>45644</v>
      </c>
      <c r="D375" s="13" t="n">
        <v>45674</v>
      </c>
      <c r="E375" t="inlineStr">
        <is>
          <t>EUR</t>
        </is>
      </c>
      <c r="F375" t="n">
        <v>8682.799999999999</v>
      </c>
      <c r="G375" t="inlineStr">
        <is>
          <t>Open</t>
        </is>
      </c>
    </row>
    <row r="376">
      <c r="A376" t="n">
        <v>9374</v>
      </c>
      <c r="B376" t="inlineStr">
        <is>
          <t>Vend_C</t>
        </is>
      </c>
      <c r="C376" s="13" t="n">
        <v>45548</v>
      </c>
      <c r="D376" s="13" t="n">
        <v>45578</v>
      </c>
      <c r="E376" t="inlineStr">
        <is>
          <t>EUR</t>
        </is>
      </c>
      <c r="F376" t="n">
        <v>5585.02</v>
      </c>
      <c r="G376" t="inlineStr">
        <is>
          <t>Paid</t>
        </is>
      </c>
      <c r="H376" s="13" t="n">
        <v>45592</v>
      </c>
    </row>
    <row r="377">
      <c r="A377" t="n">
        <v>9375</v>
      </c>
      <c r="B377" t="inlineStr">
        <is>
          <t>Vend_B</t>
        </is>
      </c>
      <c r="C377" s="13" t="n">
        <v>45447</v>
      </c>
      <c r="D377" s="13" t="n">
        <v>45477</v>
      </c>
      <c r="E377" t="inlineStr">
        <is>
          <t>EUR</t>
        </is>
      </c>
      <c r="F377" t="n">
        <v>7534.51</v>
      </c>
      <c r="G377" t="inlineStr">
        <is>
          <t>Open</t>
        </is>
      </c>
    </row>
    <row r="378">
      <c r="A378" t="n">
        <v>9376</v>
      </c>
      <c r="B378" t="inlineStr">
        <is>
          <t>Vend_B</t>
        </is>
      </c>
      <c r="C378" s="13" t="n">
        <v>45622</v>
      </c>
      <c r="D378" s="13" t="n">
        <v>45682</v>
      </c>
      <c r="E378" t="inlineStr">
        <is>
          <t>JPY</t>
        </is>
      </c>
      <c r="F378" t="n">
        <v>11751.17</v>
      </c>
      <c r="G378" t="inlineStr">
        <is>
          <t>Open</t>
        </is>
      </c>
    </row>
    <row r="379">
      <c r="A379" t="n">
        <v>9377</v>
      </c>
      <c r="B379" t="inlineStr">
        <is>
          <t>Vend_C</t>
        </is>
      </c>
      <c r="C379" s="13" t="n">
        <v>45551</v>
      </c>
      <c r="D379" s="13" t="n">
        <v>45581</v>
      </c>
      <c r="E379" t="inlineStr">
        <is>
          <t>EUR</t>
        </is>
      </c>
      <c r="F379" t="n">
        <v>5973.47</v>
      </c>
      <c r="G379" t="inlineStr">
        <is>
          <t>Paid</t>
        </is>
      </c>
      <c r="H379" s="13" t="n">
        <v>45584</v>
      </c>
    </row>
    <row r="380">
      <c r="A380" t="n">
        <v>9378</v>
      </c>
      <c r="B380" t="inlineStr">
        <is>
          <t>Vend_A</t>
        </is>
      </c>
      <c r="C380" s="13" t="n">
        <v>45351</v>
      </c>
      <c r="D380" s="13" t="n">
        <v>45381</v>
      </c>
      <c r="E380" t="inlineStr">
        <is>
          <t>EUR</t>
        </is>
      </c>
      <c r="F380" t="n">
        <v>10339.84</v>
      </c>
      <c r="G380" t="inlineStr">
        <is>
          <t>Paid</t>
        </is>
      </c>
      <c r="H380" s="13" t="n">
        <v>45390</v>
      </c>
    </row>
    <row r="381">
      <c r="A381" t="n">
        <v>9379</v>
      </c>
      <c r="B381" t="inlineStr">
        <is>
          <t>Vend_C</t>
        </is>
      </c>
      <c r="C381" s="13" t="n">
        <v>45316</v>
      </c>
      <c r="D381" s="13" t="n">
        <v>45376</v>
      </c>
      <c r="E381" t="inlineStr">
        <is>
          <t>EUR</t>
        </is>
      </c>
      <c r="F381" t="n">
        <v>4275.86</v>
      </c>
      <c r="G381" t="inlineStr">
        <is>
          <t>Overdue</t>
        </is>
      </c>
    </row>
    <row r="382">
      <c r="A382" t="n">
        <v>9380</v>
      </c>
      <c r="B382" t="inlineStr">
        <is>
          <t>Vend_A</t>
        </is>
      </c>
      <c r="C382" s="13" t="n">
        <v>45376</v>
      </c>
      <c r="D382" s="13" t="n">
        <v>45436</v>
      </c>
      <c r="E382" t="inlineStr">
        <is>
          <t>EUR</t>
        </is>
      </c>
      <c r="F382" t="n">
        <v>7952.95</v>
      </c>
      <c r="G382" t="inlineStr">
        <is>
          <t>Overdue</t>
        </is>
      </c>
    </row>
    <row r="383">
      <c r="A383" t="n">
        <v>9381</v>
      </c>
      <c r="B383" t="inlineStr">
        <is>
          <t>Vend_B</t>
        </is>
      </c>
      <c r="C383" s="13" t="n">
        <v>45376</v>
      </c>
      <c r="D383" s="13" t="n">
        <v>45406</v>
      </c>
      <c r="E383" t="inlineStr">
        <is>
          <t>EUR</t>
        </is>
      </c>
      <c r="F383" t="n">
        <v>1438.48</v>
      </c>
      <c r="G383" t="inlineStr">
        <is>
          <t>Overdue</t>
        </is>
      </c>
    </row>
    <row r="384">
      <c r="A384" t="n">
        <v>9382</v>
      </c>
      <c r="B384" t="inlineStr">
        <is>
          <t>Vend_A</t>
        </is>
      </c>
      <c r="C384" s="13" t="n">
        <v>45620</v>
      </c>
      <c r="D384" s="13" t="n">
        <v>45650</v>
      </c>
      <c r="E384" t="inlineStr">
        <is>
          <t>EUR</t>
        </is>
      </c>
      <c r="F384" t="n">
        <v>5246.26</v>
      </c>
      <c r="G384" t="inlineStr">
        <is>
          <t>Paid</t>
        </is>
      </c>
      <c r="H384" s="13" t="n">
        <v>45669</v>
      </c>
    </row>
    <row r="385">
      <c r="A385" t="n">
        <v>9383</v>
      </c>
      <c r="B385" t="inlineStr">
        <is>
          <t>Vend_B</t>
        </is>
      </c>
      <c r="C385" s="13" t="n">
        <v>45546</v>
      </c>
      <c r="D385" s="13" t="n">
        <v>45606</v>
      </c>
      <c r="E385" t="inlineStr">
        <is>
          <t>EUR</t>
        </is>
      </c>
      <c r="F385" t="n">
        <v>1473.73</v>
      </c>
      <c r="G385" t="inlineStr">
        <is>
          <t>Paid</t>
        </is>
      </c>
      <c r="H385" s="13" t="n">
        <v>45628</v>
      </c>
    </row>
    <row r="386">
      <c r="A386" t="n">
        <v>9384</v>
      </c>
      <c r="B386" t="inlineStr">
        <is>
          <t>Vend_B</t>
        </is>
      </c>
      <c r="C386" s="13" t="n">
        <v>45304</v>
      </c>
      <c r="D386" s="13" t="n">
        <v>45364</v>
      </c>
      <c r="E386" t="inlineStr">
        <is>
          <t>EUR</t>
        </is>
      </c>
      <c r="F386" t="n">
        <v>5020.13</v>
      </c>
      <c r="G386" t="inlineStr">
        <is>
          <t>Paid</t>
        </is>
      </c>
      <c r="H386" s="13" t="n">
        <v>45364</v>
      </c>
    </row>
    <row r="387">
      <c r="A387" t="n">
        <v>9385</v>
      </c>
      <c r="B387" t="inlineStr">
        <is>
          <t>Vend_C</t>
        </is>
      </c>
      <c r="C387" s="13" t="n">
        <v>45476</v>
      </c>
      <c r="D387" s="13" t="n">
        <v>45536</v>
      </c>
      <c r="E387" t="inlineStr">
        <is>
          <t>EUR</t>
        </is>
      </c>
      <c r="F387" t="n">
        <v>9006.049999999999</v>
      </c>
      <c r="G387" t="inlineStr">
        <is>
          <t>Open</t>
        </is>
      </c>
    </row>
    <row r="388">
      <c r="A388" t="n">
        <v>9386</v>
      </c>
      <c r="B388" t="inlineStr">
        <is>
          <t>Vend_C</t>
        </is>
      </c>
      <c r="C388" s="13" t="n">
        <v>45613</v>
      </c>
      <c r="D388" s="13" t="n">
        <v>45673</v>
      </c>
      <c r="E388" t="inlineStr">
        <is>
          <t>EUR</t>
        </is>
      </c>
      <c r="F388" t="n">
        <v>4875.49</v>
      </c>
      <c r="G388" t="inlineStr">
        <is>
          <t>Open</t>
        </is>
      </c>
    </row>
    <row r="389">
      <c r="A389" t="n">
        <v>9387</v>
      </c>
      <c r="B389" t="inlineStr">
        <is>
          <t>Vend_A</t>
        </is>
      </c>
      <c r="C389" s="13" t="n">
        <v>45610</v>
      </c>
      <c r="D389" s="13" t="n">
        <v>45640</v>
      </c>
      <c r="E389" t="inlineStr">
        <is>
          <t>EUR</t>
        </is>
      </c>
      <c r="F389" t="n">
        <v>17512.27</v>
      </c>
      <c r="G389" t="inlineStr">
        <is>
          <t>Paid</t>
        </is>
      </c>
      <c r="H389" s="13" t="n">
        <v>45649</v>
      </c>
    </row>
    <row r="390">
      <c r="A390" t="n">
        <v>9388</v>
      </c>
      <c r="B390" t="inlineStr">
        <is>
          <t>Vend_B</t>
        </is>
      </c>
      <c r="C390" s="13" t="n">
        <v>45433</v>
      </c>
      <c r="D390" s="13" t="n">
        <v>45463</v>
      </c>
      <c r="E390" t="inlineStr">
        <is>
          <t>EUR</t>
        </is>
      </c>
      <c r="F390" t="n">
        <v>6977.71</v>
      </c>
      <c r="G390" t="inlineStr">
        <is>
          <t>Paid</t>
        </is>
      </c>
      <c r="H390" s="13" t="n">
        <v>45471</v>
      </c>
    </row>
    <row r="391">
      <c r="A391" t="n">
        <v>9389</v>
      </c>
      <c r="B391" t="inlineStr">
        <is>
          <t>Vend_A</t>
        </is>
      </c>
      <c r="C391" s="13" t="n">
        <v>45341</v>
      </c>
      <c r="D391" s="13" t="n">
        <v>45401</v>
      </c>
      <c r="E391" t="inlineStr">
        <is>
          <t>EUR</t>
        </is>
      </c>
      <c r="F391" t="n">
        <v>2200.78</v>
      </c>
      <c r="G391" t="inlineStr">
        <is>
          <t>Open</t>
        </is>
      </c>
    </row>
    <row r="392">
      <c r="A392" t="n">
        <v>9390</v>
      </c>
      <c r="B392" t="inlineStr">
        <is>
          <t>Vend_B</t>
        </is>
      </c>
      <c r="C392" s="13" t="n">
        <v>45516</v>
      </c>
      <c r="D392" s="13" t="n">
        <v>45576</v>
      </c>
      <c r="E392" t="inlineStr">
        <is>
          <t>EUR</t>
        </is>
      </c>
      <c r="F392" t="n">
        <v>6126.56</v>
      </c>
      <c r="G392" t="inlineStr">
        <is>
          <t>Paid</t>
        </is>
      </c>
      <c r="H392" s="13" t="n">
        <v>45579</v>
      </c>
    </row>
    <row r="393">
      <c r="A393" t="n">
        <v>9391</v>
      </c>
      <c r="B393" t="inlineStr">
        <is>
          <t>Vend_B</t>
        </is>
      </c>
      <c r="C393" s="13" t="n">
        <v>45573</v>
      </c>
      <c r="D393" s="13" t="n">
        <v>45633</v>
      </c>
      <c r="E393" t="inlineStr">
        <is>
          <t>EUR</t>
        </is>
      </c>
      <c r="F393" t="n">
        <v>7170.8</v>
      </c>
      <c r="G393" t="inlineStr">
        <is>
          <t>Open</t>
        </is>
      </c>
    </row>
    <row r="394">
      <c r="A394" t="n">
        <v>9392</v>
      </c>
      <c r="B394" t="inlineStr">
        <is>
          <t>Vend_A</t>
        </is>
      </c>
      <c r="C394" s="13" t="n">
        <v>45426</v>
      </c>
      <c r="D394" s="13" t="n">
        <v>45486</v>
      </c>
      <c r="E394" t="inlineStr">
        <is>
          <t>EUR</t>
        </is>
      </c>
      <c r="F394" t="n">
        <v>7632.17</v>
      </c>
      <c r="G394" t="inlineStr">
        <is>
          <t>Paid</t>
        </is>
      </c>
      <c r="H394" s="13" t="n">
        <v>45507</v>
      </c>
    </row>
    <row r="395">
      <c r="A395" t="n">
        <v>9393</v>
      </c>
      <c r="B395" t="inlineStr">
        <is>
          <t>Vend_C</t>
        </is>
      </c>
      <c r="C395" s="13" t="n">
        <v>45320</v>
      </c>
      <c r="D395" s="13" t="n">
        <v>45350</v>
      </c>
      <c r="E395" t="inlineStr">
        <is>
          <t>EUR</t>
        </is>
      </c>
      <c r="F395" t="n">
        <v>13544.85</v>
      </c>
      <c r="G395" t="inlineStr">
        <is>
          <t>Paid</t>
        </is>
      </c>
      <c r="H395" s="13" t="n">
        <v>45364</v>
      </c>
    </row>
    <row r="396">
      <c r="A396" t="n">
        <v>9394</v>
      </c>
      <c r="B396" t="inlineStr">
        <is>
          <t>Vend_A</t>
        </is>
      </c>
      <c r="C396" s="13" t="n">
        <v>45535</v>
      </c>
      <c r="D396" s="13" t="n">
        <v>45595</v>
      </c>
      <c r="E396" t="inlineStr">
        <is>
          <t>EUR</t>
        </is>
      </c>
      <c r="F396" t="n">
        <v>1231.84</v>
      </c>
      <c r="G396" t="inlineStr">
        <is>
          <t>Paid</t>
        </is>
      </c>
      <c r="H396" s="13" t="n">
        <v>45608</v>
      </c>
    </row>
    <row r="397">
      <c r="A397" t="n">
        <v>9395</v>
      </c>
      <c r="B397" t="inlineStr">
        <is>
          <t>Vend_B</t>
        </is>
      </c>
      <c r="C397" s="13" t="n">
        <v>45538</v>
      </c>
      <c r="D397" s="13" t="n">
        <v>45568</v>
      </c>
      <c r="E397" t="inlineStr">
        <is>
          <t>EUR</t>
        </is>
      </c>
      <c r="F397" t="n">
        <v>4255.08</v>
      </c>
      <c r="G397" t="inlineStr">
        <is>
          <t>Paid</t>
        </is>
      </c>
      <c r="H397" s="13" t="n">
        <v>45589</v>
      </c>
    </row>
    <row r="398">
      <c r="A398" t="n">
        <v>9396</v>
      </c>
      <c r="B398" t="inlineStr">
        <is>
          <t>Vend_B</t>
        </is>
      </c>
      <c r="C398" s="13" t="n">
        <v>45430</v>
      </c>
      <c r="D398" s="13" t="n">
        <v>45490</v>
      </c>
      <c r="E398" t="inlineStr">
        <is>
          <t>EUR</t>
        </is>
      </c>
      <c r="F398" t="n">
        <v>5502.9</v>
      </c>
      <c r="G398" t="inlineStr">
        <is>
          <t>Open</t>
        </is>
      </c>
    </row>
    <row r="399">
      <c r="A399" t="n">
        <v>9397</v>
      </c>
      <c r="B399" t="inlineStr">
        <is>
          <t>Vend_C</t>
        </is>
      </c>
      <c r="C399" s="13" t="n">
        <v>45327</v>
      </c>
      <c r="D399" s="13" t="n">
        <v>45357</v>
      </c>
      <c r="E399" t="inlineStr">
        <is>
          <t>EUR</t>
        </is>
      </c>
      <c r="F399" t="n">
        <v>500.57</v>
      </c>
      <c r="G399" t="inlineStr">
        <is>
          <t>Paid</t>
        </is>
      </c>
      <c r="H399" s="13" t="n">
        <v>45361</v>
      </c>
    </row>
    <row r="400">
      <c r="A400" t="n">
        <v>9398</v>
      </c>
      <c r="B400" t="inlineStr">
        <is>
          <t>Vend_A</t>
        </is>
      </c>
      <c r="C400" s="13" t="n">
        <v>45433</v>
      </c>
      <c r="D400" s="13" t="n">
        <v>45463</v>
      </c>
      <c r="E400" t="inlineStr">
        <is>
          <t>EUR</t>
        </is>
      </c>
      <c r="F400" t="n">
        <v>1751.07</v>
      </c>
      <c r="G400" t="inlineStr">
        <is>
          <t>Paid</t>
        </is>
      </c>
      <c r="H400" s="13" t="n">
        <v>45474</v>
      </c>
    </row>
    <row r="401">
      <c r="A401" t="n">
        <v>9399</v>
      </c>
      <c r="B401" t="inlineStr">
        <is>
          <t>Vend_B</t>
        </is>
      </c>
      <c r="C401" s="13" t="n">
        <v>45377</v>
      </c>
      <c r="D401" s="13" t="n">
        <v>45407</v>
      </c>
      <c r="E401" t="inlineStr">
        <is>
          <t>EUR</t>
        </is>
      </c>
      <c r="F401" t="n">
        <v>7518.12</v>
      </c>
      <c r="G401" t="inlineStr">
        <is>
          <t>Paid</t>
        </is>
      </c>
      <c r="H401" s="13" t="n">
        <v>45418</v>
      </c>
    </row>
    <row r="402">
      <c r="A402" t="n">
        <v>9400</v>
      </c>
      <c r="B402" t="inlineStr">
        <is>
          <t>Vend_C</t>
        </is>
      </c>
      <c r="C402" s="13" t="n">
        <v>45603</v>
      </c>
      <c r="D402" s="13" t="n">
        <v>45663</v>
      </c>
      <c r="E402" t="inlineStr">
        <is>
          <t>EUR</t>
        </is>
      </c>
      <c r="F402" t="n">
        <v>5665.33</v>
      </c>
      <c r="G402" t="inlineStr">
        <is>
          <t>Paid</t>
        </is>
      </c>
      <c r="H402" s="13" t="n">
        <v>45664</v>
      </c>
    </row>
    <row r="403">
      <c r="A403" t="n">
        <v>9401</v>
      </c>
      <c r="B403" t="inlineStr">
        <is>
          <t>Vend_A</t>
        </is>
      </c>
      <c r="C403" s="13" t="n">
        <v>45592</v>
      </c>
      <c r="D403" s="13" t="n">
        <v>45622</v>
      </c>
      <c r="E403" t="inlineStr">
        <is>
          <t>EUR</t>
        </is>
      </c>
      <c r="F403" t="n">
        <v>4833.31</v>
      </c>
      <c r="G403" t="inlineStr">
        <is>
          <t>Paid</t>
        </is>
      </c>
      <c r="H403" s="13" t="n">
        <v>45637</v>
      </c>
    </row>
    <row r="404">
      <c r="A404" t="n">
        <v>9402</v>
      </c>
      <c r="B404" t="inlineStr">
        <is>
          <t>Vend_B</t>
        </is>
      </c>
      <c r="C404" s="13" t="n">
        <v>45509</v>
      </c>
      <c r="D404" s="13" t="n">
        <v>45539</v>
      </c>
      <c r="E404" t="inlineStr">
        <is>
          <t>EUR</t>
        </is>
      </c>
      <c r="F404" t="n">
        <v>6191.06</v>
      </c>
      <c r="G404" t="inlineStr">
        <is>
          <t>Open</t>
        </is>
      </c>
    </row>
    <row r="405">
      <c r="A405" t="n">
        <v>9403</v>
      </c>
      <c r="B405" t="inlineStr">
        <is>
          <t>Vend_C</t>
        </is>
      </c>
      <c r="C405" s="13" t="n">
        <v>45364</v>
      </c>
      <c r="D405" s="13" t="n">
        <v>45424</v>
      </c>
      <c r="E405" t="inlineStr">
        <is>
          <t>EUR</t>
        </is>
      </c>
      <c r="F405" t="n">
        <v>4620.18</v>
      </c>
      <c r="G405" t="inlineStr">
        <is>
          <t>Paid</t>
        </is>
      </c>
      <c r="H405" s="13" t="n">
        <v>45433</v>
      </c>
    </row>
    <row r="406">
      <c r="A406" t="n">
        <v>9404</v>
      </c>
      <c r="B406" t="inlineStr">
        <is>
          <t>Vend_A</t>
        </is>
      </c>
      <c r="C406" s="13" t="n">
        <v>45386</v>
      </c>
      <c r="D406" s="13" t="n">
        <v>45416</v>
      </c>
      <c r="E406" t="inlineStr">
        <is>
          <t>EUR</t>
        </is>
      </c>
      <c r="F406" t="n">
        <v>7521.54</v>
      </c>
      <c r="G406" t="inlineStr">
        <is>
          <t>Paid</t>
        </is>
      </c>
      <c r="H406" s="13" t="n">
        <v>45438</v>
      </c>
    </row>
    <row r="407">
      <c r="A407" t="n">
        <v>9405</v>
      </c>
      <c r="B407" t="inlineStr">
        <is>
          <t>Vend_A</t>
        </is>
      </c>
      <c r="C407" s="13" t="n">
        <v>45649</v>
      </c>
      <c r="D407" s="13" t="n">
        <v>45679</v>
      </c>
      <c r="E407" t="inlineStr">
        <is>
          <t>EUR</t>
        </is>
      </c>
      <c r="F407" t="n">
        <v>1712.43</v>
      </c>
      <c r="G407" t="inlineStr">
        <is>
          <t>Paid</t>
        </is>
      </c>
      <c r="H407" s="13" t="n">
        <v>45685</v>
      </c>
    </row>
    <row r="408">
      <c r="A408" t="n">
        <v>9406</v>
      </c>
      <c r="B408" t="inlineStr">
        <is>
          <t>Vend_C</t>
        </is>
      </c>
      <c r="C408" s="13" t="n">
        <v>45303</v>
      </c>
      <c r="D408" s="13" t="n">
        <v>45333</v>
      </c>
      <c r="E408" t="inlineStr">
        <is>
          <t>EUR</t>
        </is>
      </c>
      <c r="F408" t="n">
        <v>5086.28</v>
      </c>
      <c r="G408" t="inlineStr">
        <is>
          <t>Paid</t>
        </is>
      </c>
      <c r="H408" s="13" t="n">
        <v>45348</v>
      </c>
    </row>
    <row r="409">
      <c r="A409" t="n">
        <v>9407</v>
      </c>
      <c r="B409" t="inlineStr">
        <is>
          <t>Vend_A</t>
        </is>
      </c>
      <c r="C409" s="13" t="n">
        <v>45536</v>
      </c>
      <c r="D409" s="13" t="n">
        <v>45566</v>
      </c>
      <c r="E409" t="inlineStr">
        <is>
          <t>EUR</t>
        </is>
      </c>
      <c r="F409" t="n">
        <v>6661.77</v>
      </c>
      <c r="G409" t="inlineStr">
        <is>
          <t>Open</t>
        </is>
      </c>
    </row>
    <row r="410">
      <c r="A410" t="n">
        <v>9408</v>
      </c>
      <c r="B410" t="inlineStr">
        <is>
          <t>Vend_A</t>
        </is>
      </c>
      <c r="C410" s="13" t="n">
        <v>45424</v>
      </c>
      <c r="D410" s="13" t="n">
        <v>45454</v>
      </c>
      <c r="E410" t="inlineStr">
        <is>
          <t>EUR</t>
        </is>
      </c>
      <c r="F410" t="n">
        <v>4554.71</v>
      </c>
      <c r="G410" t="inlineStr">
        <is>
          <t>Paid</t>
        </is>
      </c>
      <c r="H410" s="13" t="n">
        <v>45458</v>
      </c>
    </row>
    <row r="411">
      <c r="A411" t="n">
        <v>9409</v>
      </c>
      <c r="B411" t="inlineStr">
        <is>
          <t>Vend_A</t>
        </is>
      </c>
      <c r="C411" s="13" t="n">
        <v>45364</v>
      </c>
      <c r="D411" s="13" t="n">
        <v>45424</v>
      </c>
      <c r="E411" t="inlineStr">
        <is>
          <t>EUR</t>
        </is>
      </c>
      <c r="F411" t="n">
        <v>2910.89</v>
      </c>
      <c r="G411" t="inlineStr">
        <is>
          <t>Open</t>
        </is>
      </c>
    </row>
    <row r="412">
      <c r="A412" t="n">
        <v>9410</v>
      </c>
      <c r="B412" t="inlineStr">
        <is>
          <t>Vend_C</t>
        </is>
      </c>
      <c r="C412" s="13" t="n">
        <v>45614</v>
      </c>
      <c r="D412" s="13" t="n">
        <v>45674</v>
      </c>
      <c r="E412" t="inlineStr">
        <is>
          <t>EUR</t>
        </is>
      </c>
      <c r="F412" t="n">
        <v>10069.09</v>
      </c>
      <c r="G412" t="inlineStr">
        <is>
          <t>Paid</t>
        </is>
      </c>
      <c r="H412" s="13" t="n">
        <v>45695</v>
      </c>
    </row>
    <row r="413">
      <c r="A413" t="n">
        <v>9411</v>
      </c>
      <c r="B413" t="inlineStr">
        <is>
          <t>Vend_C</t>
        </is>
      </c>
      <c r="C413" s="13" t="n">
        <v>45388</v>
      </c>
      <c r="D413" s="13" t="n">
        <v>45418</v>
      </c>
      <c r="E413" t="inlineStr">
        <is>
          <t>EUR</t>
        </is>
      </c>
      <c r="F413" t="n">
        <v>5154.04</v>
      </c>
      <c r="G413" t="inlineStr">
        <is>
          <t>Paid</t>
        </is>
      </c>
      <c r="H413" s="13" t="n">
        <v>45418</v>
      </c>
    </row>
    <row r="414">
      <c r="A414" t="n">
        <v>9412</v>
      </c>
      <c r="B414" t="inlineStr">
        <is>
          <t>Vend_B</t>
        </is>
      </c>
      <c r="C414" s="13" t="n">
        <v>45585</v>
      </c>
      <c r="D414" s="13" t="n">
        <v>45645</v>
      </c>
      <c r="E414" t="inlineStr">
        <is>
          <t>EUR</t>
        </is>
      </c>
      <c r="F414" t="n">
        <v>7649.88</v>
      </c>
      <c r="G414" t="inlineStr">
        <is>
          <t>Paid</t>
        </is>
      </c>
      <c r="H414" s="13" t="n">
        <v>45669</v>
      </c>
    </row>
    <row r="415">
      <c r="A415" t="n">
        <v>9413</v>
      </c>
      <c r="B415" t="inlineStr">
        <is>
          <t>Vend_B</t>
        </is>
      </c>
      <c r="C415" s="13" t="n">
        <v>45587</v>
      </c>
      <c r="D415" s="13" t="n">
        <v>45617</v>
      </c>
      <c r="E415" t="inlineStr">
        <is>
          <t>EUR</t>
        </is>
      </c>
      <c r="F415" t="n">
        <v>7292.59</v>
      </c>
      <c r="G415" t="inlineStr">
        <is>
          <t>Paid</t>
        </is>
      </c>
      <c r="H415" s="13" t="n">
        <v>45628</v>
      </c>
    </row>
    <row r="416">
      <c r="A416" t="n">
        <v>9414</v>
      </c>
      <c r="B416" t="inlineStr">
        <is>
          <t>Vend_C</t>
        </is>
      </c>
      <c r="C416" s="13" t="n">
        <v>45466</v>
      </c>
      <c r="D416" s="13" t="n">
        <v>45496</v>
      </c>
      <c r="E416" t="inlineStr">
        <is>
          <t>USD</t>
        </is>
      </c>
      <c r="F416" t="n">
        <v>6792.14</v>
      </c>
      <c r="G416" t="inlineStr">
        <is>
          <t>Paid</t>
        </is>
      </c>
      <c r="H416" s="13" t="n">
        <v>45497</v>
      </c>
    </row>
    <row r="417">
      <c r="A417" t="n">
        <v>9415</v>
      </c>
      <c r="B417" t="inlineStr">
        <is>
          <t>Vend_A</t>
        </is>
      </c>
      <c r="C417" s="13" t="n">
        <v>45583</v>
      </c>
      <c r="D417" s="13" t="n">
        <v>45613</v>
      </c>
      <c r="E417" t="inlineStr">
        <is>
          <t>EUR</t>
        </is>
      </c>
      <c r="F417" t="n">
        <v>5214.86</v>
      </c>
      <c r="G417" t="inlineStr">
        <is>
          <t>Open</t>
        </is>
      </c>
    </row>
    <row r="418">
      <c r="A418" t="n">
        <v>9416</v>
      </c>
      <c r="B418" t="inlineStr">
        <is>
          <t>Vend_B</t>
        </is>
      </c>
      <c r="C418" s="13" t="n">
        <v>45334</v>
      </c>
      <c r="D418" s="13" t="n">
        <v>45394</v>
      </c>
      <c r="E418" t="inlineStr">
        <is>
          <t>EUR</t>
        </is>
      </c>
      <c r="F418" t="n">
        <v>836.98</v>
      </c>
      <c r="G418" t="inlineStr">
        <is>
          <t>Paid</t>
        </is>
      </c>
      <c r="H418" s="13" t="n">
        <v>45404</v>
      </c>
    </row>
    <row r="419">
      <c r="A419" t="n">
        <v>9417</v>
      </c>
      <c r="B419" t="inlineStr">
        <is>
          <t>Vend_C</t>
        </is>
      </c>
      <c r="C419" s="13" t="n">
        <v>45492</v>
      </c>
      <c r="D419" s="13" t="n">
        <v>45552</v>
      </c>
      <c r="E419" t="inlineStr">
        <is>
          <t>EUR</t>
        </is>
      </c>
      <c r="F419" t="n">
        <v>5069.19</v>
      </c>
      <c r="G419" t="inlineStr">
        <is>
          <t>Paid</t>
        </is>
      </c>
      <c r="H419" s="13" t="n">
        <v>45556</v>
      </c>
    </row>
    <row r="420">
      <c r="A420" t="n">
        <v>9418</v>
      </c>
      <c r="B420" t="inlineStr">
        <is>
          <t>Vend_C</t>
        </is>
      </c>
      <c r="C420" s="13" t="n">
        <v>45405</v>
      </c>
      <c r="D420" s="13" t="n">
        <v>45465</v>
      </c>
      <c r="E420" t="inlineStr">
        <is>
          <t>EUR</t>
        </is>
      </c>
      <c r="F420" t="n">
        <v>687.74</v>
      </c>
      <c r="G420" t="inlineStr">
        <is>
          <t>Paid</t>
        </is>
      </c>
      <c r="H420" s="13" t="n">
        <v>45469</v>
      </c>
    </row>
    <row r="421">
      <c r="A421" t="n">
        <v>9419</v>
      </c>
      <c r="B421" t="inlineStr">
        <is>
          <t>Vend_A</t>
        </is>
      </c>
      <c r="C421" s="13" t="n">
        <v>45464</v>
      </c>
      <c r="D421" s="13" t="n">
        <v>45494</v>
      </c>
      <c r="E421" t="inlineStr">
        <is>
          <t>EUR</t>
        </is>
      </c>
      <c r="F421" t="n">
        <v>1525.43</v>
      </c>
      <c r="G421" t="inlineStr">
        <is>
          <t>Paid</t>
        </is>
      </c>
      <c r="H421" s="13" t="n">
        <v>45504</v>
      </c>
    </row>
    <row r="422">
      <c r="A422" t="n">
        <v>9420</v>
      </c>
      <c r="B422" t="inlineStr">
        <is>
          <t>Vend_B</t>
        </is>
      </c>
      <c r="C422" s="13" t="n">
        <v>45588</v>
      </c>
      <c r="D422" s="13" t="n">
        <v>45648</v>
      </c>
      <c r="E422" t="inlineStr">
        <is>
          <t>EUR</t>
        </is>
      </c>
      <c r="F422" t="n">
        <v>5736.83</v>
      </c>
      <c r="G422" t="inlineStr">
        <is>
          <t>Paid</t>
        </is>
      </c>
      <c r="H422" s="13" t="n">
        <v>45649</v>
      </c>
    </row>
    <row r="423">
      <c r="A423" t="n">
        <v>9421</v>
      </c>
      <c r="B423" t="inlineStr">
        <is>
          <t>Vend_C</t>
        </is>
      </c>
      <c r="C423" s="13" t="n">
        <v>45343</v>
      </c>
      <c r="D423" s="13" t="n">
        <v>45373</v>
      </c>
      <c r="E423" t="inlineStr">
        <is>
          <t>EUR</t>
        </is>
      </c>
      <c r="F423" t="n">
        <v>5128.84</v>
      </c>
      <c r="G423" t="inlineStr">
        <is>
          <t>Paid</t>
        </is>
      </c>
      <c r="H423" s="13" t="n">
        <v>45395</v>
      </c>
    </row>
    <row r="424">
      <c r="A424" t="n">
        <v>9422</v>
      </c>
      <c r="B424" t="inlineStr">
        <is>
          <t>Vend_B</t>
        </is>
      </c>
      <c r="C424" s="13" t="n">
        <v>45465</v>
      </c>
      <c r="D424" s="13" t="n">
        <v>45525</v>
      </c>
      <c r="E424" t="inlineStr">
        <is>
          <t>EUR</t>
        </is>
      </c>
      <c r="F424" t="n">
        <v>3594.19</v>
      </c>
      <c r="G424" t="inlineStr">
        <is>
          <t>Paid</t>
        </is>
      </c>
      <c r="H424" s="13" t="n">
        <v>45546</v>
      </c>
    </row>
    <row r="425">
      <c r="A425" t="n">
        <v>9423</v>
      </c>
      <c r="B425" t="inlineStr">
        <is>
          <t>Vend_A</t>
        </is>
      </c>
      <c r="C425" s="13" t="n">
        <v>45467</v>
      </c>
      <c r="D425" s="13" t="n">
        <v>45497</v>
      </c>
      <c r="E425" t="inlineStr">
        <is>
          <t>EUR</t>
        </is>
      </c>
      <c r="F425" t="n">
        <v>2427.52</v>
      </c>
      <c r="G425" t="inlineStr">
        <is>
          <t>Open</t>
        </is>
      </c>
    </row>
    <row r="426">
      <c r="A426" t="n">
        <v>9424</v>
      </c>
      <c r="B426" t="inlineStr">
        <is>
          <t>Vend_B</t>
        </is>
      </c>
      <c r="C426" s="13" t="n">
        <v>45351</v>
      </c>
      <c r="D426" s="13" t="n">
        <v>45411</v>
      </c>
      <c r="E426" t="inlineStr">
        <is>
          <t>EUR</t>
        </is>
      </c>
      <c r="F426" t="n">
        <v>4735.36</v>
      </c>
      <c r="G426" t="inlineStr">
        <is>
          <t>Paid</t>
        </is>
      </c>
      <c r="H426" s="13" t="n">
        <v>45431</v>
      </c>
    </row>
    <row r="427">
      <c r="A427" t="n">
        <v>9425</v>
      </c>
      <c r="B427" t="inlineStr">
        <is>
          <t>Vend_C</t>
        </is>
      </c>
      <c r="C427" s="13" t="n">
        <v>45493</v>
      </c>
      <c r="D427" s="13" t="n">
        <v>45553</v>
      </c>
      <c r="E427" t="inlineStr">
        <is>
          <t>EUR</t>
        </is>
      </c>
      <c r="F427" t="n">
        <v>9397.1</v>
      </c>
      <c r="G427" t="inlineStr">
        <is>
          <t>Open</t>
        </is>
      </c>
    </row>
    <row r="428">
      <c r="A428" t="n">
        <v>9426</v>
      </c>
      <c r="B428" t="inlineStr">
        <is>
          <t>Vend_C</t>
        </is>
      </c>
      <c r="C428" s="13" t="n">
        <v>45538</v>
      </c>
      <c r="D428" s="13" t="n">
        <v>45598</v>
      </c>
      <c r="E428" t="inlineStr">
        <is>
          <t>EUR</t>
        </is>
      </c>
      <c r="F428" t="n">
        <v>3935.79</v>
      </c>
      <c r="G428" t="inlineStr">
        <is>
          <t>Paid</t>
        </is>
      </c>
      <c r="H428" s="13" t="n">
        <v>45616</v>
      </c>
    </row>
    <row r="429">
      <c r="A429" t="n">
        <v>9427</v>
      </c>
      <c r="B429" t="inlineStr">
        <is>
          <t>Vend_C</t>
        </is>
      </c>
      <c r="C429" s="13" t="n">
        <v>45352</v>
      </c>
      <c r="D429" s="13" t="n">
        <v>45412</v>
      </c>
      <c r="E429" t="inlineStr">
        <is>
          <t>EUR</t>
        </is>
      </c>
      <c r="F429" t="n">
        <v>4963.96</v>
      </c>
      <c r="G429" t="inlineStr">
        <is>
          <t>Paid</t>
        </is>
      </c>
      <c r="H429" s="13" t="n">
        <v>45433</v>
      </c>
    </row>
    <row r="430">
      <c r="A430" t="n">
        <v>9428</v>
      </c>
      <c r="B430" t="inlineStr">
        <is>
          <t>Vend_B</t>
        </is>
      </c>
      <c r="C430" s="13" t="n">
        <v>45345</v>
      </c>
      <c r="D430" s="13" t="n">
        <v>45405</v>
      </c>
      <c r="E430" t="inlineStr">
        <is>
          <t>EUR</t>
        </is>
      </c>
      <c r="F430" t="n">
        <v>15001.51</v>
      </c>
      <c r="G430" t="inlineStr">
        <is>
          <t>Overdue</t>
        </is>
      </c>
    </row>
    <row r="431">
      <c r="A431" t="n">
        <v>9429</v>
      </c>
      <c r="B431" t="inlineStr">
        <is>
          <t>Vend_B</t>
        </is>
      </c>
      <c r="C431" s="13" t="n">
        <v>45595</v>
      </c>
      <c r="D431" s="13" t="n">
        <v>45655</v>
      </c>
      <c r="E431" t="inlineStr">
        <is>
          <t>JPY</t>
        </is>
      </c>
      <c r="F431" t="n">
        <v>3594.82</v>
      </c>
      <c r="G431" t="inlineStr">
        <is>
          <t>Paid</t>
        </is>
      </c>
      <c r="H431" s="13" t="n">
        <v>45655</v>
      </c>
    </row>
    <row r="432">
      <c r="A432" t="n">
        <v>9430</v>
      </c>
      <c r="B432" t="inlineStr">
        <is>
          <t>Vend_A</t>
        </is>
      </c>
      <c r="C432" s="13" t="n">
        <v>45525</v>
      </c>
      <c r="D432" s="13" t="n">
        <v>45585</v>
      </c>
      <c r="E432" t="inlineStr">
        <is>
          <t>EUR</t>
        </is>
      </c>
      <c r="F432" t="n">
        <v>2199.87</v>
      </c>
      <c r="G432" t="inlineStr">
        <is>
          <t>Open</t>
        </is>
      </c>
    </row>
    <row r="433">
      <c r="A433" t="n">
        <v>9431</v>
      </c>
      <c r="B433" t="inlineStr">
        <is>
          <t>Vend_C</t>
        </is>
      </c>
      <c r="C433" s="13" t="n">
        <v>45645</v>
      </c>
      <c r="D433" s="13" t="n">
        <v>45675</v>
      </c>
      <c r="E433" t="inlineStr">
        <is>
          <t>EUR</t>
        </is>
      </c>
      <c r="F433" t="n">
        <v>3378.38</v>
      </c>
      <c r="G433" t="inlineStr">
        <is>
          <t>Paid</t>
        </is>
      </c>
      <c r="H433" s="13" t="n">
        <v>45696</v>
      </c>
    </row>
    <row r="434">
      <c r="A434" t="n">
        <v>9432</v>
      </c>
      <c r="B434" t="inlineStr">
        <is>
          <t>Vend_A</t>
        </is>
      </c>
      <c r="C434" s="13" t="n">
        <v>45397</v>
      </c>
      <c r="D434" s="13" t="n">
        <v>45427</v>
      </c>
      <c r="E434" t="inlineStr">
        <is>
          <t>EUR</t>
        </is>
      </c>
      <c r="F434" t="n">
        <v>7010.03</v>
      </c>
      <c r="G434" t="inlineStr">
        <is>
          <t>Paid</t>
        </is>
      </c>
      <c r="H434" s="13" t="n">
        <v>45430</v>
      </c>
    </row>
    <row r="435">
      <c r="A435" t="n">
        <v>9433</v>
      </c>
      <c r="B435" t="inlineStr">
        <is>
          <t>Vend_C</t>
        </is>
      </c>
      <c r="C435" s="13" t="n">
        <v>45370</v>
      </c>
      <c r="D435" s="13" t="n">
        <v>45400</v>
      </c>
      <c r="E435" t="inlineStr">
        <is>
          <t>EUR</t>
        </is>
      </c>
      <c r="F435" t="n">
        <v>9168.610000000001</v>
      </c>
      <c r="G435" t="inlineStr">
        <is>
          <t>Paid</t>
        </is>
      </c>
      <c r="H435" s="13" t="n">
        <v>45420</v>
      </c>
    </row>
    <row r="436">
      <c r="A436" t="n">
        <v>9434</v>
      </c>
      <c r="B436" t="inlineStr">
        <is>
          <t>Vend_B</t>
        </is>
      </c>
      <c r="C436" s="13" t="n">
        <v>45494</v>
      </c>
      <c r="D436" s="13" t="n">
        <v>45554</v>
      </c>
      <c r="E436" t="inlineStr">
        <is>
          <t>EUR</t>
        </is>
      </c>
      <c r="F436" t="n">
        <v>6831.89</v>
      </c>
      <c r="G436" t="inlineStr">
        <is>
          <t>Paid</t>
        </is>
      </c>
      <c r="H436" s="13" t="n">
        <v>45569</v>
      </c>
    </row>
    <row r="437">
      <c r="A437" t="n">
        <v>9435</v>
      </c>
      <c r="B437" t="inlineStr">
        <is>
          <t>Vend_A</t>
        </is>
      </c>
      <c r="C437" s="13" t="n">
        <v>45488</v>
      </c>
      <c r="D437" s="13" t="n">
        <v>45548</v>
      </c>
      <c r="E437" t="inlineStr">
        <is>
          <t>EUR</t>
        </is>
      </c>
      <c r="F437" t="n">
        <v>8024.9</v>
      </c>
      <c r="G437" t="inlineStr">
        <is>
          <t>Paid</t>
        </is>
      </c>
      <c r="H437" s="13" t="n">
        <v>45549</v>
      </c>
    </row>
    <row r="438">
      <c r="A438" t="n">
        <v>9436</v>
      </c>
      <c r="B438" t="inlineStr">
        <is>
          <t>Vend_B</t>
        </is>
      </c>
      <c r="C438" s="13" t="n">
        <v>45478</v>
      </c>
      <c r="D438" s="13" t="n">
        <v>45508</v>
      </c>
      <c r="E438" t="inlineStr">
        <is>
          <t>EUR</t>
        </is>
      </c>
      <c r="F438" t="n">
        <v>6584.89</v>
      </c>
      <c r="G438" t="inlineStr">
        <is>
          <t>Paid</t>
        </is>
      </c>
      <c r="H438" s="13" t="n">
        <v>45533</v>
      </c>
    </row>
    <row r="439">
      <c r="A439" t="n">
        <v>9437</v>
      </c>
      <c r="B439" t="inlineStr">
        <is>
          <t>Vend_A</t>
        </is>
      </c>
      <c r="C439" s="13" t="n">
        <v>45431</v>
      </c>
      <c r="D439" s="13" t="n">
        <v>45461</v>
      </c>
      <c r="E439" t="inlineStr">
        <is>
          <t>EUR</t>
        </is>
      </c>
      <c r="F439" t="n">
        <v>1169</v>
      </c>
      <c r="G439" t="inlineStr">
        <is>
          <t>Paid</t>
        </is>
      </c>
      <c r="H439" s="13" t="n">
        <v>45473</v>
      </c>
    </row>
    <row r="440">
      <c r="A440" t="n">
        <v>9438</v>
      </c>
      <c r="B440" t="inlineStr">
        <is>
          <t>Vend_C</t>
        </is>
      </c>
      <c r="C440" s="13" t="n">
        <v>45616</v>
      </c>
      <c r="D440" s="13" t="n">
        <v>45676</v>
      </c>
      <c r="E440" t="inlineStr">
        <is>
          <t>EUR</t>
        </is>
      </c>
      <c r="F440" t="n">
        <v>13428.97</v>
      </c>
      <c r="G440" t="inlineStr">
        <is>
          <t>Paid</t>
        </is>
      </c>
      <c r="H440" s="13" t="n">
        <v>45682</v>
      </c>
    </row>
    <row r="441">
      <c r="A441" t="n">
        <v>9439</v>
      </c>
      <c r="B441" t="inlineStr">
        <is>
          <t>Vend_A</t>
        </is>
      </c>
      <c r="C441" s="13" t="n">
        <v>45564</v>
      </c>
      <c r="D441" s="13" t="n">
        <v>45624</v>
      </c>
      <c r="E441" t="inlineStr">
        <is>
          <t>EUR</t>
        </is>
      </c>
      <c r="F441" t="n">
        <v>6463.95</v>
      </c>
      <c r="G441" t="inlineStr">
        <is>
          <t>Overdue</t>
        </is>
      </c>
    </row>
    <row r="442">
      <c r="A442" t="n">
        <v>9440</v>
      </c>
      <c r="B442" t="inlineStr">
        <is>
          <t>Vend_B</t>
        </is>
      </c>
      <c r="C442" s="13" t="n">
        <v>45607</v>
      </c>
      <c r="D442" s="13" t="n">
        <v>45667</v>
      </c>
      <c r="E442" t="inlineStr">
        <is>
          <t>EUR</t>
        </is>
      </c>
      <c r="F442" t="n">
        <v>6137.66</v>
      </c>
      <c r="G442" t="inlineStr">
        <is>
          <t>Paid</t>
        </is>
      </c>
      <c r="H442" s="13" t="n">
        <v>45683</v>
      </c>
    </row>
    <row r="443">
      <c r="A443" t="n">
        <v>9441</v>
      </c>
      <c r="B443" t="inlineStr">
        <is>
          <t>Vend_B</t>
        </is>
      </c>
      <c r="C443" s="13" t="n">
        <v>45417</v>
      </c>
      <c r="D443" s="13" t="n">
        <v>45477</v>
      </c>
      <c r="E443" t="inlineStr">
        <is>
          <t>EUR</t>
        </is>
      </c>
      <c r="F443" t="n">
        <v>8067.61</v>
      </c>
      <c r="G443" t="inlineStr">
        <is>
          <t>Open</t>
        </is>
      </c>
    </row>
    <row r="444">
      <c r="A444" t="n">
        <v>9442</v>
      </c>
      <c r="B444" t="inlineStr">
        <is>
          <t>Vend_B</t>
        </is>
      </c>
      <c r="C444" s="13" t="n">
        <v>45400</v>
      </c>
      <c r="D444" s="13" t="n">
        <v>45430</v>
      </c>
      <c r="E444" t="inlineStr">
        <is>
          <t>EUR</t>
        </is>
      </c>
      <c r="F444" t="n">
        <v>10243.07</v>
      </c>
      <c r="G444" t="inlineStr">
        <is>
          <t>Open</t>
        </is>
      </c>
    </row>
    <row r="445">
      <c r="A445" t="n">
        <v>9443</v>
      </c>
      <c r="B445" t="inlineStr">
        <is>
          <t>Vend_B</t>
        </is>
      </c>
      <c r="C445" s="13" t="n">
        <v>45419</v>
      </c>
      <c r="D445" s="13" t="n">
        <v>45449</v>
      </c>
      <c r="E445" t="inlineStr">
        <is>
          <t>EUR</t>
        </is>
      </c>
      <c r="F445" t="n">
        <v>6202.35</v>
      </c>
      <c r="G445" t="inlineStr">
        <is>
          <t>Overdue</t>
        </is>
      </c>
    </row>
    <row r="446">
      <c r="A446" t="n">
        <v>9444</v>
      </c>
      <c r="B446" t="inlineStr">
        <is>
          <t>Vend_C</t>
        </is>
      </c>
      <c r="C446" s="13" t="n">
        <v>45599</v>
      </c>
      <c r="D446" s="13" t="n">
        <v>45629</v>
      </c>
      <c r="E446" t="inlineStr">
        <is>
          <t>EUR</t>
        </is>
      </c>
      <c r="F446" t="n">
        <v>2337.33</v>
      </c>
      <c r="G446" t="inlineStr">
        <is>
          <t>Open</t>
        </is>
      </c>
    </row>
    <row r="447">
      <c r="A447" t="n">
        <v>9445</v>
      </c>
      <c r="B447" t="inlineStr">
        <is>
          <t>Vend_A</t>
        </is>
      </c>
      <c r="C447" s="13" t="n">
        <v>45593</v>
      </c>
      <c r="D447" s="13" t="n">
        <v>45653</v>
      </c>
      <c r="E447" t="inlineStr">
        <is>
          <t>EUR</t>
        </is>
      </c>
      <c r="F447" t="n">
        <v>7664.67</v>
      </c>
      <c r="G447" t="inlineStr">
        <is>
          <t>Paid</t>
        </is>
      </c>
      <c r="H447" s="13" t="n">
        <v>45673</v>
      </c>
    </row>
    <row r="448">
      <c r="A448" t="n">
        <v>9446</v>
      </c>
      <c r="B448" t="inlineStr">
        <is>
          <t>Vend_B</t>
        </is>
      </c>
      <c r="C448" s="13" t="n">
        <v>45546</v>
      </c>
      <c r="D448" s="13" t="n">
        <v>45606</v>
      </c>
      <c r="E448" t="inlineStr">
        <is>
          <t>EUR</t>
        </is>
      </c>
      <c r="F448" t="n">
        <v>2691.59</v>
      </c>
      <c r="G448" t="inlineStr">
        <is>
          <t>Paid</t>
        </is>
      </c>
      <c r="H448" s="13" t="n">
        <v>45626</v>
      </c>
    </row>
    <row r="449">
      <c r="A449" t="n">
        <v>9447</v>
      </c>
      <c r="B449" t="inlineStr">
        <is>
          <t>Vend_B</t>
        </is>
      </c>
      <c r="C449" s="13" t="n">
        <v>45328</v>
      </c>
      <c r="D449" s="13" t="n">
        <v>45388</v>
      </c>
      <c r="E449" t="inlineStr">
        <is>
          <t>EUR</t>
        </is>
      </c>
      <c r="F449" t="n">
        <v>4028.77</v>
      </c>
      <c r="G449" t="inlineStr">
        <is>
          <t>Open</t>
        </is>
      </c>
    </row>
    <row r="450">
      <c r="A450" t="n">
        <v>9448</v>
      </c>
      <c r="B450" t="inlineStr">
        <is>
          <t>Vend_C</t>
        </is>
      </c>
      <c r="C450" s="13" t="n">
        <v>45467</v>
      </c>
      <c r="D450" s="13" t="n">
        <v>45497</v>
      </c>
      <c r="E450" t="inlineStr">
        <is>
          <t>EUR</t>
        </is>
      </c>
      <c r="F450" t="n">
        <v>5149.13</v>
      </c>
      <c r="G450" t="inlineStr">
        <is>
          <t>Paid</t>
        </is>
      </c>
      <c r="H450" s="13" t="n">
        <v>45498</v>
      </c>
    </row>
    <row r="451">
      <c r="A451" t="n">
        <v>9449</v>
      </c>
      <c r="B451" t="inlineStr">
        <is>
          <t>Vend_B</t>
        </is>
      </c>
      <c r="C451" s="13" t="n">
        <v>45309</v>
      </c>
      <c r="D451" s="13" t="n">
        <v>45369</v>
      </c>
      <c r="E451" t="inlineStr">
        <is>
          <t>USD</t>
        </is>
      </c>
      <c r="F451" t="n">
        <v>3434.25</v>
      </c>
      <c r="G451" t="inlineStr">
        <is>
          <t>Paid</t>
        </is>
      </c>
      <c r="H451" s="13" t="n">
        <v>45383</v>
      </c>
    </row>
    <row r="452">
      <c r="A452" t="n">
        <v>9450</v>
      </c>
      <c r="B452" t="inlineStr">
        <is>
          <t>Vend_C</t>
        </is>
      </c>
      <c r="C452" s="13" t="n">
        <v>45588</v>
      </c>
      <c r="D452" s="13" t="n">
        <v>45648</v>
      </c>
      <c r="E452" t="inlineStr">
        <is>
          <t>JPY</t>
        </is>
      </c>
      <c r="F452" t="n">
        <v>8464.85</v>
      </c>
      <c r="G452" t="inlineStr">
        <is>
          <t>Paid</t>
        </is>
      </c>
      <c r="H452" s="13" t="n">
        <v>45655</v>
      </c>
    </row>
    <row r="453">
      <c r="A453" t="n">
        <v>9451</v>
      </c>
      <c r="B453" t="inlineStr">
        <is>
          <t>Vend_C</t>
        </is>
      </c>
      <c r="C453" s="13" t="n">
        <v>45370</v>
      </c>
      <c r="D453" s="13" t="n">
        <v>45430</v>
      </c>
      <c r="E453" t="inlineStr">
        <is>
          <t>EUR</t>
        </is>
      </c>
      <c r="F453" t="n">
        <v>7060.62</v>
      </c>
      <c r="G453" t="inlineStr">
        <is>
          <t>Paid</t>
        </is>
      </c>
      <c r="H453" s="13" t="n">
        <v>45453</v>
      </c>
    </row>
    <row r="454">
      <c r="A454" t="n">
        <v>9452</v>
      </c>
      <c r="B454" t="inlineStr">
        <is>
          <t>Vend_A</t>
        </is>
      </c>
      <c r="C454" s="13" t="n">
        <v>45398</v>
      </c>
      <c r="D454" s="13" t="n">
        <v>45428</v>
      </c>
      <c r="E454" t="inlineStr">
        <is>
          <t>JPY</t>
        </is>
      </c>
      <c r="F454" t="n">
        <v>4013.72</v>
      </c>
      <c r="G454" t="inlineStr">
        <is>
          <t>Paid</t>
        </is>
      </c>
      <c r="H454" s="13" t="n">
        <v>45452</v>
      </c>
    </row>
    <row r="455">
      <c r="A455" t="n">
        <v>9453</v>
      </c>
      <c r="B455" t="inlineStr">
        <is>
          <t>Vend_C</t>
        </is>
      </c>
      <c r="C455" s="13" t="n">
        <v>45418</v>
      </c>
      <c r="D455" s="13" t="n">
        <v>45448</v>
      </c>
      <c r="E455" t="inlineStr">
        <is>
          <t>EUR</t>
        </is>
      </c>
      <c r="F455" t="n">
        <v>5123.61</v>
      </c>
      <c r="G455" t="inlineStr">
        <is>
          <t>Open</t>
        </is>
      </c>
    </row>
    <row r="456">
      <c r="A456" t="n">
        <v>9454</v>
      </c>
      <c r="B456" t="inlineStr">
        <is>
          <t>Vend_A</t>
        </is>
      </c>
      <c r="C456" s="13" t="n">
        <v>45394</v>
      </c>
      <c r="D456" s="13" t="n">
        <v>45454</v>
      </c>
      <c r="E456" t="inlineStr">
        <is>
          <t>EUR</t>
        </is>
      </c>
      <c r="F456" t="n">
        <v>1511.46</v>
      </c>
      <c r="G456" t="inlineStr">
        <is>
          <t>Paid</t>
        </is>
      </c>
      <c r="H456" s="13" t="n">
        <v>45479</v>
      </c>
    </row>
    <row r="457">
      <c r="A457" t="n">
        <v>9455</v>
      </c>
      <c r="B457" t="inlineStr">
        <is>
          <t>Vend_B</t>
        </is>
      </c>
      <c r="C457" s="13" t="n">
        <v>45359</v>
      </c>
      <c r="D457" s="13" t="n">
        <v>45419</v>
      </c>
      <c r="E457" t="inlineStr">
        <is>
          <t>EUR</t>
        </is>
      </c>
      <c r="F457" t="n">
        <v>4200.98</v>
      </c>
      <c r="G457" t="inlineStr">
        <is>
          <t>Open</t>
        </is>
      </c>
    </row>
    <row r="458">
      <c r="A458" t="n">
        <v>9456</v>
      </c>
      <c r="B458" t="inlineStr">
        <is>
          <t>Vend_C</t>
        </is>
      </c>
      <c r="C458" s="13" t="n">
        <v>45533</v>
      </c>
      <c r="D458" s="13" t="n">
        <v>45593</v>
      </c>
      <c r="E458" t="inlineStr">
        <is>
          <t>EUR</t>
        </is>
      </c>
      <c r="F458" t="n">
        <v>3669.57</v>
      </c>
      <c r="G458" t="inlineStr">
        <is>
          <t>Paid</t>
        </is>
      </c>
      <c r="H458" s="13" t="n">
        <v>45601</v>
      </c>
    </row>
    <row r="459">
      <c r="A459" t="n">
        <v>9457</v>
      </c>
      <c r="B459" t="inlineStr">
        <is>
          <t>Vend_C</t>
        </is>
      </c>
      <c r="C459" s="13" t="n">
        <v>45589</v>
      </c>
      <c r="D459" s="13" t="n">
        <v>45619</v>
      </c>
      <c r="E459" t="inlineStr">
        <is>
          <t>EUR</t>
        </is>
      </c>
      <c r="F459" t="n">
        <v>5020.33</v>
      </c>
      <c r="G459" t="inlineStr">
        <is>
          <t>Paid</t>
        </is>
      </c>
      <c r="H459" s="13" t="n">
        <v>45622</v>
      </c>
    </row>
    <row r="460">
      <c r="A460" t="n">
        <v>9458</v>
      </c>
      <c r="B460" t="inlineStr">
        <is>
          <t>Vend_A</t>
        </is>
      </c>
      <c r="C460" s="13" t="n">
        <v>45579</v>
      </c>
      <c r="D460" s="13" t="n">
        <v>45609</v>
      </c>
      <c r="E460" t="inlineStr">
        <is>
          <t>EUR</t>
        </is>
      </c>
      <c r="F460" t="n">
        <v>5650.96</v>
      </c>
      <c r="G460" t="inlineStr">
        <is>
          <t>Paid</t>
        </is>
      </c>
      <c r="H460" s="13" t="n">
        <v>45610</v>
      </c>
    </row>
    <row r="461">
      <c r="A461" t="n">
        <v>9459</v>
      </c>
      <c r="B461" t="inlineStr">
        <is>
          <t>Vend_B</t>
        </is>
      </c>
      <c r="C461" s="13" t="n">
        <v>45407</v>
      </c>
      <c r="D461" s="13" t="n">
        <v>45467</v>
      </c>
      <c r="E461" t="inlineStr">
        <is>
          <t>EUR</t>
        </is>
      </c>
      <c r="F461" t="n">
        <v>9349.48</v>
      </c>
      <c r="G461" t="inlineStr">
        <is>
          <t>Paid</t>
        </is>
      </c>
      <c r="H461" s="13" t="n">
        <v>45480</v>
      </c>
    </row>
    <row r="462">
      <c r="A462" t="n">
        <v>9460</v>
      </c>
      <c r="B462" t="inlineStr">
        <is>
          <t>Vend_C</t>
        </is>
      </c>
      <c r="C462" s="13" t="n">
        <v>45354</v>
      </c>
      <c r="D462" s="13" t="n">
        <v>45384</v>
      </c>
      <c r="E462" t="inlineStr">
        <is>
          <t>EUR</t>
        </is>
      </c>
      <c r="F462" t="n">
        <v>1563.68</v>
      </c>
      <c r="G462" t="inlineStr">
        <is>
          <t>Open</t>
        </is>
      </c>
    </row>
    <row r="463">
      <c r="A463" t="n">
        <v>9461</v>
      </c>
      <c r="B463" t="inlineStr">
        <is>
          <t>Vend_C</t>
        </is>
      </c>
      <c r="C463" s="13" t="n">
        <v>45307</v>
      </c>
      <c r="D463" s="13" t="n">
        <v>45367</v>
      </c>
      <c r="E463" t="inlineStr">
        <is>
          <t>EUR</t>
        </is>
      </c>
      <c r="F463" t="n">
        <v>1199.03</v>
      </c>
      <c r="G463" t="inlineStr">
        <is>
          <t>Paid</t>
        </is>
      </c>
      <c r="H463" s="13" t="n">
        <v>45383</v>
      </c>
    </row>
    <row r="464">
      <c r="A464" t="n">
        <v>9462</v>
      </c>
      <c r="B464" t="inlineStr">
        <is>
          <t>Vend_A</t>
        </is>
      </c>
      <c r="C464" s="13" t="n">
        <v>45578</v>
      </c>
      <c r="D464" s="13" t="n">
        <v>45638</v>
      </c>
      <c r="E464" t="inlineStr">
        <is>
          <t>EUR</t>
        </is>
      </c>
      <c r="F464" t="n">
        <v>1644.46</v>
      </c>
      <c r="G464" t="inlineStr">
        <is>
          <t>Open</t>
        </is>
      </c>
    </row>
    <row r="465">
      <c r="A465" t="n">
        <v>9463</v>
      </c>
      <c r="B465" t="inlineStr">
        <is>
          <t>Vend_C</t>
        </is>
      </c>
      <c r="C465" s="13" t="n">
        <v>45651</v>
      </c>
      <c r="D465" s="13" t="n">
        <v>45711</v>
      </c>
      <c r="E465" t="inlineStr">
        <is>
          <t>JPY</t>
        </is>
      </c>
      <c r="F465" t="n">
        <v>3581.57</v>
      </c>
      <c r="G465" t="inlineStr">
        <is>
          <t>Paid</t>
        </is>
      </c>
      <c r="H465" s="13" t="n">
        <v>45730</v>
      </c>
    </row>
    <row r="466">
      <c r="A466" t="n">
        <v>9464</v>
      </c>
      <c r="B466" t="inlineStr">
        <is>
          <t>Vend_B</t>
        </is>
      </c>
      <c r="C466" s="13" t="n">
        <v>45377</v>
      </c>
      <c r="D466" s="13" t="n">
        <v>45437</v>
      </c>
      <c r="E466" t="inlineStr">
        <is>
          <t>EUR</t>
        </is>
      </c>
      <c r="F466" t="n">
        <v>10454.59</v>
      </c>
      <c r="G466" t="inlineStr">
        <is>
          <t>Paid</t>
        </is>
      </c>
      <c r="H466" s="13" t="n">
        <v>45457</v>
      </c>
    </row>
    <row r="467">
      <c r="A467" t="n">
        <v>9465</v>
      </c>
      <c r="B467" t="inlineStr">
        <is>
          <t>Vend_C</t>
        </is>
      </c>
      <c r="C467" s="13" t="n">
        <v>45434</v>
      </c>
      <c r="D467" s="13" t="n">
        <v>45464</v>
      </c>
      <c r="E467" t="inlineStr">
        <is>
          <t>EUR</t>
        </is>
      </c>
      <c r="F467" t="n">
        <v>3491.02</v>
      </c>
      <c r="G467" t="inlineStr">
        <is>
          <t>Open</t>
        </is>
      </c>
    </row>
    <row r="468">
      <c r="A468" t="n">
        <v>9466</v>
      </c>
      <c r="B468" t="inlineStr">
        <is>
          <t>Vend_B</t>
        </is>
      </c>
      <c r="C468" s="13" t="n">
        <v>45543</v>
      </c>
      <c r="D468" s="13" t="n">
        <v>45603</v>
      </c>
      <c r="E468" t="inlineStr">
        <is>
          <t>EUR</t>
        </is>
      </c>
      <c r="F468" t="n">
        <v>10159.64</v>
      </c>
      <c r="G468" t="inlineStr">
        <is>
          <t>Paid</t>
        </is>
      </c>
      <c r="H468" s="13" t="n">
        <v>45605</v>
      </c>
    </row>
    <row r="469">
      <c r="A469" t="n">
        <v>9467</v>
      </c>
      <c r="B469" t="inlineStr">
        <is>
          <t>Vend_B</t>
        </is>
      </c>
      <c r="C469" s="13" t="n">
        <v>45373</v>
      </c>
      <c r="D469" s="13" t="n">
        <v>45403</v>
      </c>
      <c r="E469" t="inlineStr">
        <is>
          <t>EUR</t>
        </is>
      </c>
      <c r="F469" t="n">
        <v>3885.11</v>
      </c>
      <c r="G469" t="inlineStr">
        <is>
          <t>Paid</t>
        </is>
      </c>
      <c r="H469" s="13" t="n">
        <v>45404</v>
      </c>
    </row>
    <row r="470">
      <c r="A470" t="n">
        <v>9468</v>
      </c>
      <c r="B470" t="inlineStr">
        <is>
          <t>Vend_C</t>
        </is>
      </c>
      <c r="C470" s="13" t="n">
        <v>45316</v>
      </c>
      <c r="D470" s="13" t="n">
        <v>45346</v>
      </c>
      <c r="E470" t="inlineStr">
        <is>
          <t>EUR</t>
        </is>
      </c>
      <c r="F470" t="n">
        <v>17970.17</v>
      </c>
      <c r="G470" t="inlineStr">
        <is>
          <t>Paid</t>
        </is>
      </c>
      <c r="H470" s="13" t="n">
        <v>45363</v>
      </c>
    </row>
    <row r="471">
      <c r="A471" t="n">
        <v>9469</v>
      </c>
      <c r="B471" t="inlineStr">
        <is>
          <t>Vend_A</t>
        </is>
      </c>
      <c r="C471" s="13" t="n">
        <v>45329</v>
      </c>
      <c r="D471" s="13" t="n">
        <v>45389</v>
      </c>
      <c r="E471" t="inlineStr">
        <is>
          <t>EUR</t>
        </is>
      </c>
      <c r="F471" t="n">
        <v>1059.32</v>
      </c>
      <c r="G471" t="inlineStr">
        <is>
          <t>Paid</t>
        </is>
      </c>
      <c r="H471" s="13" t="n">
        <v>45392</v>
      </c>
    </row>
    <row r="472">
      <c r="A472" t="n">
        <v>9470</v>
      </c>
      <c r="B472" t="inlineStr">
        <is>
          <t>Vend_A</t>
        </is>
      </c>
      <c r="C472" s="13" t="n">
        <v>45638</v>
      </c>
      <c r="D472" s="13" t="n">
        <v>45698</v>
      </c>
      <c r="E472" t="inlineStr">
        <is>
          <t>EUR</t>
        </is>
      </c>
      <c r="F472" t="n">
        <v>11590.99</v>
      </c>
      <c r="G472" t="inlineStr">
        <is>
          <t>Paid</t>
        </is>
      </c>
      <c r="H472" s="13" t="n">
        <v>45718</v>
      </c>
    </row>
    <row r="473">
      <c r="A473" t="n">
        <v>9471</v>
      </c>
      <c r="B473" t="inlineStr">
        <is>
          <t>Vend_C</t>
        </is>
      </c>
      <c r="C473" s="13" t="n">
        <v>45636</v>
      </c>
      <c r="D473" s="13" t="n">
        <v>45666</v>
      </c>
      <c r="E473" t="inlineStr">
        <is>
          <t>EUR</t>
        </is>
      </c>
      <c r="F473" t="n">
        <v>5539.72</v>
      </c>
      <c r="G473" t="inlineStr">
        <is>
          <t>Open</t>
        </is>
      </c>
    </row>
    <row r="474">
      <c r="A474" t="n">
        <v>9472</v>
      </c>
      <c r="B474" t="inlineStr">
        <is>
          <t>Vend_B</t>
        </is>
      </c>
      <c r="C474" s="13" t="n">
        <v>45359</v>
      </c>
      <c r="D474" s="13" t="n">
        <v>45419</v>
      </c>
      <c r="E474" t="inlineStr">
        <is>
          <t>EUR</t>
        </is>
      </c>
      <c r="F474" t="n">
        <v>3641.71</v>
      </c>
      <c r="G474" t="inlineStr">
        <is>
          <t>Paid</t>
        </is>
      </c>
      <c r="H474" s="13" t="n">
        <v>45434</v>
      </c>
    </row>
    <row r="475">
      <c r="A475" t="n">
        <v>9473</v>
      </c>
      <c r="B475" t="inlineStr">
        <is>
          <t>Vend_C</t>
        </is>
      </c>
      <c r="C475" s="13" t="n">
        <v>45331</v>
      </c>
      <c r="D475" s="13" t="n">
        <v>45361</v>
      </c>
      <c r="E475" t="inlineStr">
        <is>
          <t>EUR</t>
        </is>
      </c>
      <c r="F475" t="n">
        <v>2441.62</v>
      </c>
      <c r="G475" t="inlineStr">
        <is>
          <t>Paid</t>
        </is>
      </c>
      <c r="H475" s="13" t="n">
        <v>45371</v>
      </c>
    </row>
    <row r="476">
      <c r="A476" t="n">
        <v>9474</v>
      </c>
      <c r="B476" t="inlineStr">
        <is>
          <t>Vend_C</t>
        </is>
      </c>
      <c r="C476" s="13" t="n">
        <v>45390</v>
      </c>
      <c r="D476" s="13" t="n">
        <v>45420</v>
      </c>
      <c r="E476" t="inlineStr">
        <is>
          <t>EUR</t>
        </is>
      </c>
      <c r="F476" t="n">
        <v>7203.05</v>
      </c>
      <c r="G476" t="inlineStr">
        <is>
          <t>Paid</t>
        </is>
      </c>
      <c r="H476" s="13" t="n">
        <v>45424</v>
      </c>
    </row>
    <row r="477">
      <c r="A477" t="n">
        <v>9475</v>
      </c>
      <c r="B477" t="inlineStr">
        <is>
          <t>Vend_A</t>
        </is>
      </c>
      <c r="C477" s="13" t="n">
        <v>45457</v>
      </c>
      <c r="D477" s="13" t="n">
        <v>45487</v>
      </c>
      <c r="E477" t="inlineStr">
        <is>
          <t>EUR</t>
        </is>
      </c>
      <c r="F477" t="n">
        <v>4505.09</v>
      </c>
      <c r="G477" t="inlineStr">
        <is>
          <t>Paid</t>
        </is>
      </c>
      <c r="H477" s="13" t="n">
        <v>45512</v>
      </c>
    </row>
    <row r="478">
      <c r="A478" t="n">
        <v>9476</v>
      </c>
      <c r="B478" t="inlineStr">
        <is>
          <t>Vend_C</t>
        </is>
      </c>
      <c r="C478" s="13" t="n">
        <v>45446</v>
      </c>
      <c r="D478" s="13" t="n">
        <v>45476</v>
      </c>
      <c r="E478" t="inlineStr">
        <is>
          <t>EUR</t>
        </is>
      </c>
      <c r="F478" t="n">
        <v>5097.74</v>
      </c>
      <c r="G478" t="inlineStr">
        <is>
          <t>Open</t>
        </is>
      </c>
    </row>
    <row r="479">
      <c r="A479" t="n">
        <v>9477</v>
      </c>
      <c r="B479" t="inlineStr">
        <is>
          <t>Vend_A</t>
        </is>
      </c>
      <c r="C479" s="13" t="n">
        <v>45560</v>
      </c>
      <c r="D479" s="13" t="n">
        <v>45590</v>
      </c>
      <c r="E479" t="inlineStr">
        <is>
          <t>EUR</t>
        </is>
      </c>
      <c r="F479" t="n">
        <v>2527.75</v>
      </c>
      <c r="G479" t="inlineStr">
        <is>
          <t>Paid</t>
        </is>
      </c>
      <c r="H479" s="13" t="n">
        <v>45600</v>
      </c>
    </row>
    <row r="480">
      <c r="A480" t="n">
        <v>9478</v>
      </c>
      <c r="B480" t="inlineStr">
        <is>
          <t>Vend_B</t>
        </is>
      </c>
      <c r="C480" s="13" t="n">
        <v>45657</v>
      </c>
      <c r="D480" s="13" t="n">
        <v>45717</v>
      </c>
      <c r="E480" t="inlineStr">
        <is>
          <t>USD</t>
        </is>
      </c>
      <c r="F480" t="n">
        <v>2444.29</v>
      </c>
      <c r="G480" t="inlineStr">
        <is>
          <t>Paid</t>
        </is>
      </c>
      <c r="H480" s="13" t="n">
        <v>45741</v>
      </c>
    </row>
    <row r="481">
      <c r="A481" t="n">
        <v>9479</v>
      </c>
      <c r="B481" t="inlineStr">
        <is>
          <t>Vend_A</t>
        </is>
      </c>
      <c r="C481" s="13" t="n">
        <v>45492</v>
      </c>
      <c r="D481" s="13" t="n">
        <v>45552</v>
      </c>
      <c r="E481" t="inlineStr">
        <is>
          <t>USD</t>
        </is>
      </c>
      <c r="F481" t="n">
        <v>7502.12</v>
      </c>
      <c r="G481" t="inlineStr">
        <is>
          <t>Paid</t>
        </is>
      </c>
      <c r="H481" s="13" t="n">
        <v>45555</v>
      </c>
    </row>
    <row r="482">
      <c r="A482" t="n">
        <v>9480</v>
      </c>
      <c r="B482" t="inlineStr">
        <is>
          <t>Vend_A</t>
        </is>
      </c>
      <c r="C482" s="13" t="n">
        <v>45625</v>
      </c>
      <c r="D482" s="13" t="n">
        <v>45685</v>
      </c>
      <c r="E482" t="inlineStr">
        <is>
          <t>EUR</t>
        </is>
      </c>
      <c r="F482" t="n">
        <v>10542.02</v>
      </c>
      <c r="G482" t="inlineStr">
        <is>
          <t>Paid</t>
        </is>
      </c>
      <c r="H482" s="13" t="n">
        <v>45701</v>
      </c>
    </row>
    <row r="483">
      <c r="A483" t="n">
        <v>9481</v>
      </c>
      <c r="B483" t="inlineStr">
        <is>
          <t>Vend_A</t>
        </is>
      </c>
      <c r="C483" s="13" t="n">
        <v>45514</v>
      </c>
      <c r="D483" s="13" t="n">
        <v>45574</v>
      </c>
      <c r="E483" t="inlineStr">
        <is>
          <t>EUR</t>
        </is>
      </c>
      <c r="F483" t="n">
        <v>1543.23</v>
      </c>
      <c r="G483" t="inlineStr">
        <is>
          <t>Open</t>
        </is>
      </c>
    </row>
    <row r="484">
      <c r="A484" t="n">
        <v>9482</v>
      </c>
      <c r="B484" t="inlineStr">
        <is>
          <t>Vend_A</t>
        </is>
      </c>
      <c r="C484" s="13" t="n">
        <v>45325</v>
      </c>
      <c r="D484" s="13" t="n">
        <v>45355</v>
      </c>
      <c r="E484" t="inlineStr">
        <is>
          <t>EUR</t>
        </is>
      </c>
      <c r="F484" t="n">
        <v>2728.86</v>
      </c>
      <c r="G484" t="inlineStr">
        <is>
          <t>Paid</t>
        </is>
      </c>
      <c r="H484" s="13" t="n">
        <v>45372</v>
      </c>
    </row>
    <row r="485">
      <c r="A485" t="n">
        <v>9483</v>
      </c>
      <c r="B485" t="inlineStr">
        <is>
          <t>Vend_C</t>
        </is>
      </c>
      <c r="C485" s="13" t="n">
        <v>45424</v>
      </c>
      <c r="D485" s="13" t="n">
        <v>45454</v>
      </c>
      <c r="E485" t="inlineStr">
        <is>
          <t>EUR</t>
        </is>
      </c>
      <c r="F485" t="n">
        <v>9810.969999999999</v>
      </c>
      <c r="G485" t="inlineStr">
        <is>
          <t>Paid</t>
        </is>
      </c>
      <c r="H485" s="13" t="n">
        <v>45454</v>
      </c>
    </row>
    <row r="486">
      <c r="A486" t="n">
        <v>9484</v>
      </c>
      <c r="B486" t="inlineStr">
        <is>
          <t>Vend_B</t>
        </is>
      </c>
      <c r="C486" s="13" t="n">
        <v>45367</v>
      </c>
      <c r="D486" s="13" t="n">
        <v>45397</v>
      </c>
      <c r="E486" t="inlineStr">
        <is>
          <t>JPY</t>
        </is>
      </c>
      <c r="F486" t="n">
        <v>16626.38</v>
      </c>
      <c r="G486" t="inlineStr">
        <is>
          <t>Paid</t>
        </is>
      </c>
      <c r="H486" s="13" t="n">
        <v>45399</v>
      </c>
    </row>
    <row r="487">
      <c r="A487" t="n">
        <v>9485</v>
      </c>
      <c r="B487" t="inlineStr">
        <is>
          <t>Vend_C</t>
        </is>
      </c>
      <c r="C487" s="13" t="n">
        <v>45621</v>
      </c>
      <c r="D487" s="13" t="n">
        <v>45651</v>
      </c>
      <c r="E487" t="inlineStr">
        <is>
          <t>EUR</t>
        </is>
      </c>
      <c r="F487" t="n">
        <v>11015.02</v>
      </c>
      <c r="G487" t="inlineStr">
        <is>
          <t>Paid</t>
        </is>
      </c>
      <c r="H487" s="13" t="n">
        <v>45651</v>
      </c>
    </row>
    <row r="488">
      <c r="A488" t="n">
        <v>9486</v>
      </c>
      <c r="B488" t="inlineStr">
        <is>
          <t>Vend_B</t>
        </is>
      </c>
      <c r="C488" s="13" t="n">
        <v>45570</v>
      </c>
      <c r="D488" s="13" t="n">
        <v>45630</v>
      </c>
      <c r="E488" t="inlineStr">
        <is>
          <t>EUR</t>
        </is>
      </c>
      <c r="F488" t="n">
        <v>5304.85</v>
      </c>
      <c r="G488" t="inlineStr">
        <is>
          <t>Paid</t>
        </is>
      </c>
      <c r="H488" s="13" t="n">
        <v>45641</v>
      </c>
    </row>
    <row r="489">
      <c r="A489" t="n">
        <v>9487</v>
      </c>
      <c r="B489" t="inlineStr">
        <is>
          <t>Vend_B</t>
        </is>
      </c>
      <c r="C489" s="13" t="n">
        <v>45442</v>
      </c>
      <c r="D489" s="13" t="n">
        <v>45472</v>
      </c>
      <c r="E489" t="inlineStr">
        <is>
          <t>USD</t>
        </is>
      </c>
      <c r="F489" t="n">
        <v>14696.47</v>
      </c>
      <c r="G489" t="inlineStr">
        <is>
          <t>Paid</t>
        </is>
      </c>
      <c r="H489" s="13" t="n">
        <v>45497</v>
      </c>
    </row>
    <row r="490">
      <c r="A490" t="n">
        <v>9488</v>
      </c>
      <c r="B490" t="inlineStr">
        <is>
          <t>Vend_B</t>
        </is>
      </c>
      <c r="C490" s="13" t="n">
        <v>45555</v>
      </c>
      <c r="D490" s="13" t="n">
        <v>45585</v>
      </c>
      <c r="E490" t="inlineStr">
        <is>
          <t>EUR</t>
        </is>
      </c>
      <c r="F490" t="n">
        <v>13138.65</v>
      </c>
      <c r="G490" t="inlineStr">
        <is>
          <t>Paid</t>
        </is>
      </c>
      <c r="H490" s="13" t="n">
        <v>45588</v>
      </c>
    </row>
    <row r="491">
      <c r="A491" t="n">
        <v>9489</v>
      </c>
      <c r="B491" t="inlineStr">
        <is>
          <t>Vend_A</t>
        </is>
      </c>
      <c r="C491" s="13" t="n">
        <v>45531</v>
      </c>
      <c r="D491" s="13" t="n">
        <v>45561</v>
      </c>
      <c r="E491" t="inlineStr">
        <is>
          <t>EUR</t>
        </is>
      </c>
      <c r="F491" t="n">
        <v>1240.57</v>
      </c>
      <c r="G491" t="inlineStr">
        <is>
          <t>Open</t>
        </is>
      </c>
    </row>
    <row r="492">
      <c r="A492" t="n">
        <v>9490</v>
      </c>
      <c r="B492" t="inlineStr">
        <is>
          <t>Vend_C</t>
        </is>
      </c>
      <c r="C492" s="13" t="n">
        <v>45410</v>
      </c>
      <c r="D492" s="13" t="n">
        <v>45470</v>
      </c>
      <c r="E492" t="inlineStr">
        <is>
          <t>EUR</t>
        </is>
      </c>
      <c r="F492" t="n">
        <v>7841.62</v>
      </c>
      <c r="G492" t="inlineStr">
        <is>
          <t>Paid</t>
        </is>
      </c>
      <c r="H492" s="13" t="n">
        <v>45495</v>
      </c>
    </row>
    <row r="493">
      <c r="A493" t="n">
        <v>9491</v>
      </c>
      <c r="B493" t="inlineStr">
        <is>
          <t>Vend_A</t>
        </is>
      </c>
      <c r="C493" s="13" t="n">
        <v>45628</v>
      </c>
      <c r="D493" s="13" t="n">
        <v>45688</v>
      </c>
      <c r="E493" t="inlineStr">
        <is>
          <t>EUR</t>
        </is>
      </c>
      <c r="F493" t="n">
        <v>6794.58</v>
      </c>
      <c r="G493" t="inlineStr">
        <is>
          <t>Paid</t>
        </is>
      </c>
      <c r="H493" s="13" t="n">
        <v>45693</v>
      </c>
    </row>
    <row r="494">
      <c r="A494" t="n">
        <v>9492</v>
      </c>
      <c r="B494" t="inlineStr">
        <is>
          <t>Vend_C</t>
        </is>
      </c>
      <c r="C494" s="13" t="n">
        <v>45374</v>
      </c>
      <c r="D494" s="13" t="n">
        <v>45404</v>
      </c>
      <c r="E494" t="inlineStr">
        <is>
          <t>EUR</t>
        </is>
      </c>
      <c r="F494" t="n">
        <v>5787.11</v>
      </c>
      <c r="G494" t="inlineStr">
        <is>
          <t>Paid</t>
        </is>
      </c>
      <c r="H494" s="13" t="n">
        <v>45421</v>
      </c>
    </row>
    <row r="495">
      <c r="A495" t="n">
        <v>9493</v>
      </c>
      <c r="B495" t="inlineStr">
        <is>
          <t>Vend_B</t>
        </is>
      </c>
      <c r="C495" s="13" t="n">
        <v>45414</v>
      </c>
      <c r="D495" s="13" t="n">
        <v>45444</v>
      </c>
      <c r="E495" t="inlineStr">
        <is>
          <t>USD</t>
        </is>
      </c>
      <c r="F495" t="n">
        <v>900.1900000000001</v>
      </c>
      <c r="G495" t="inlineStr">
        <is>
          <t>Paid</t>
        </is>
      </c>
      <c r="H495" s="13" t="n">
        <v>45448</v>
      </c>
    </row>
    <row r="496">
      <c r="A496" t="n">
        <v>9494</v>
      </c>
      <c r="B496" t="inlineStr">
        <is>
          <t>Vend_A</t>
        </is>
      </c>
      <c r="C496" s="13" t="n">
        <v>45440</v>
      </c>
      <c r="D496" s="13" t="n">
        <v>45500</v>
      </c>
      <c r="E496" t="inlineStr">
        <is>
          <t>EUR</t>
        </is>
      </c>
      <c r="F496" t="n">
        <v>5991.81</v>
      </c>
      <c r="G496" t="inlineStr">
        <is>
          <t>Paid</t>
        </is>
      </c>
      <c r="H496" s="13" t="n">
        <v>45524</v>
      </c>
    </row>
    <row r="497">
      <c r="A497" t="n">
        <v>9495</v>
      </c>
      <c r="B497" t="inlineStr">
        <is>
          <t>Vend_A</t>
        </is>
      </c>
      <c r="C497" s="13" t="n">
        <v>45626</v>
      </c>
      <c r="D497" s="13" t="n">
        <v>45656</v>
      </c>
      <c r="E497" t="inlineStr">
        <is>
          <t>EUR</t>
        </is>
      </c>
      <c r="F497" t="n">
        <v>25681.48</v>
      </c>
      <c r="G497" t="inlineStr">
        <is>
          <t>Open</t>
        </is>
      </c>
    </row>
    <row r="498">
      <c r="A498" t="n">
        <v>9496</v>
      </c>
      <c r="B498" t="inlineStr">
        <is>
          <t>Vend_A</t>
        </is>
      </c>
      <c r="C498" s="13" t="n">
        <v>45580</v>
      </c>
      <c r="D498" s="13" t="n">
        <v>45640</v>
      </c>
      <c r="E498" t="inlineStr">
        <is>
          <t>JPY</t>
        </is>
      </c>
      <c r="F498" t="n">
        <v>1933.84</v>
      </c>
      <c r="G498" t="inlineStr">
        <is>
          <t>Paid</t>
        </is>
      </c>
      <c r="H498" s="13" t="n">
        <v>45658</v>
      </c>
    </row>
    <row r="499">
      <c r="A499" t="n">
        <v>9497</v>
      </c>
      <c r="B499" t="inlineStr">
        <is>
          <t>Vend_A</t>
        </is>
      </c>
      <c r="C499" s="13" t="n">
        <v>45430</v>
      </c>
      <c r="D499" s="13" t="n">
        <v>45460</v>
      </c>
      <c r="E499" t="inlineStr">
        <is>
          <t>EUR</t>
        </is>
      </c>
      <c r="F499" t="n">
        <v>874.77</v>
      </c>
      <c r="G499" t="inlineStr">
        <is>
          <t>Open</t>
        </is>
      </c>
    </row>
    <row r="500">
      <c r="A500" t="n">
        <v>9498</v>
      </c>
      <c r="B500" t="inlineStr">
        <is>
          <t>Vend_A</t>
        </is>
      </c>
      <c r="C500" s="13" t="n">
        <v>45355</v>
      </c>
      <c r="D500" s="13" t="n">
        <v>45385</v>
      </c>
      <c r="E500" t="inlineStr">
        <is>
          <t>USD</t>
        </is>
      </c>
      <c r="F500" t="n">
        <v>1540.82</v>
      </c>
      <c r="G500" t="inlineStr">
        <is>
          <t>Open</t>
        </is>
      </c>
    </row>
    <row r="501">
      <c r="A501" t="n">
        <v>9499</v>
      </c>
      <c r="B501" t="inlineStr">
        <is>
          <t>Vend_A</t>
        </is>
      </c>
      <c r="C501" s="13" t="n">
        <v>45556</v>
      </c>
      <c r="D501" s="13" t="n">
        <v>45586</v>
      </c>
      <c r="E501" t="inlineStr">
        <is>
          <t>EUR</t>
        </is>
      </c>
      <c r="F501" t="n">
        <v>1095.59</v>
      </c>
      <c r="G501" t="inlineStr">
        <is>
          <t>Paid</t>
        </is>
      </c>
      <c r="H501" s="13" t="n">
        <v>45591</v>
      </c>
    </row>
    <row r="502">
      <c r="A502" t="n">
        <v>9500</v>
      </c>
      <c r="B502" t="inlineStr">
        <is>
          <t>Vend_B</t>
        </is>
      </c>
      <c r="C502" s="13" t="n">
        <v>45479</v>
      </c>
      <c r="D502" s="13" t="n">
        <v>45509</v>
      </c>
      <c r="E502" t="inlineStr">
        <is>
          <t>EUR</t>
        </is>
      </c>
      <c r="F502" t="n">
        <v>1367.38</v>
      </c>
      <c r="G502" t="inlineStr">
        <is>
          <t>Paid</t>
        </is>
      </c>
      <c r="H502" s="13" t="n">
        <v>45515</v>
      </c>
    </row>
    <row r="503">
      <c r="A503" t="n">
        <v>9501</v>
      </c>
      <c r="B503" t="inlineStr">
        <is>
          <t>Vend_A</t>
        </is>
      </c>
      <c r="C503" s="13" t="n">
        <v>45353</v>
      </c>
      <c r="D503" s="13" t="n">
        <v>45383</v>
      </c>
      <c r="E503" t="inlineStr">
        <is>
          <t>EUR</t>
        </is>
      </c>
      <c r="F503" t="n">
        <v>8332.709999999999</v>
      </c>
      <c r="G503" t="inlineStr">
        <is>
          <t>Paid</t>
        </is>
      </c>
      <c r="H503" s="13" t="n">
        <v>45400</v>
      </c>
    </row>
    <row r="504">
      <c r="A504" t="n">
        <v>9502</v>
      </c>
      <c r="B504" t="inlineStr">
        <is>
          <t>Vend_B</t>
        </is>
      </c>
      <c r="C504" s="13" t="n">
        <v>45443</v>
      </c>
      <c r="D504" s="13" t="n">
        <v>45473</v>
      </c>
      <c r="E504" t="inlineStr">
        <is>
          <t>EUR</t>
        </is>
      </c>
      <c r="F504" t="n">
        <v>3204.91</v>
      </c>
      <c r="G504" t="inlineStr">
        <is>
          <t>Paid</t>
        </is>
      </c>
      <c r="H504" s="13" t="n">
        <v>45489</v>
      </c>
    </row>
    <row r="505">
      <c r="A505" t="n">
        <v>9503</v>
      </c>
      <c r="B505" t="inlineStr">
        <is>
          <t>Vend_B</t>
        </is>
      </c>
      <c r="C505" s="13" t="n">
        <v>45462</v>
      </c>
      <c r="D505" s="13" t="n">
        <v>45492</v>
      </c>
      <c r="E505" t="inlineStr">
        <is>
          <t>EUR</t>
        </is>
      </c>
      <c r="F505" t="n">
        <v>6210.09</v>
      </c>
      <c r="G505" t="inlineStr">
        <is>
          <t>Paid</t>
        </is>
      </c>
      <c r="H505" s="13" t="n">
        <v>45498</v>
      </c>
    </row>
    <row r="506">
      <c r="A506" t="n">
        <v>9504</v>
      </c>
      <c r="B506" t="inlineStr">
        <is>
          <t>Vend_B</t>
        </is>
      </c>
      <c r="C506" s="13" t="n">
        <v>45429</v>
      </c>
      <c r="D506" s="13" t="n">
        <v>45489</v>
      </c>
      <c r="E506" t="inlineStr">
        <is>
          <t>EUR</t>
        </is>
      </c>
      <c r="F506" t="n">
        <v>4090.31</v>
      </c>
      <c r="G506" t="inlineStr">
        <is>
          <t>Paid</t>
        </is>
      </c>
      <c r="H506" s="13" t="n">
        <v>45511</v>
      </c>
    </row>
    <row r="507">
      <c r="A507" t="n">
        <v>9505</v>
      </c>
      <c r="B507" t="inlineStr">
        <is>
          <t>Vend_C</t>
        </is>
      </c>
      <c r="C507" s="13" t="n">
        <v>45601</v>
      </c>
      <c r="D507" s="13" t="n">
        <v>45661</v>
      </c>
      <c r="E507" t="inlineStr">
        <is>
          <t>EUR</t>
        </is>
      </c>
      <c r="F507" t="n">
        <v>3807.42</v>
      </c>
      <c r="G507" t="inlineStr">
        <is>
          <t>Paid</t>
        </is>
      </c>
      <c r="H507" s="13" t="n">
        <v>45667</v>
      </c>
    </row>
    <row r="508">
      <c r="A508" t="n">
        <v>9506</v>
      </c>
      <c r="B508" t="inlineStr">
        <is>
          <t>Vend_C</t>
        </is>
      </c>
      <c r="C508" s="13" t="n">
        <v>45560</v>
      </c>
      <c r="D508" s="13" t="n">
        <v>45620</v>
      </c>
      <c r="E508" t="inlineStr">
        <is>
          <t>EUR</t>
        </is>
      </c>
      <c r="F508" t="n">
        <v>6070.46</v>
      </c>
      <c r="G508" t="inlineStr">
        <is>
          <t>Open</t>
        </is>
      </c>
    </row>
    <row r="509">
      <c r="A509" t="n">
        <v>9507</v>
      </c>
      <c r="B509" t="inlineStr">
        <is>
          <t>Vend_C</t>
        </is>
      </c>
      <c r="C509" s="13" t="n">
        <v>45361</v>
      </c>
      <c r="D509" s="13" t="n">
        <v>45391</v>
      </c>
      <c r="E509" t="inlineStr">
        <is>
          <t>EUR</t>
        </is>
      </c>
      <c r="F509" t="n">
        <v>5471.83</v>
      </c>
      <c r="G509" t="inlineStr">
        <is>
          <t>Open</t>
        </is>
      </c>
    </row>
    <row r="510">
      <c r="A510" t="n">
        <v>9508</v>
      </c>
      <c r="B510" t="inlineStr">
        <is>
          <t>Vend_B</t>
        </is>
      </c>
      <c r="C510" s="13" t="n">
        <v>45428</v>
      </c>
      <c r="D510" s="13" t="n">
        <v>45488</v>
      </c>
      <c r="E510" t="inlineStr">
        <is>
          <t>EUR</t>
        </is>
      </c>
      <c r="F510" t="n">
        <v>13055.56</v>
      </c>
      <c r="G510" t="inlineStr">
        <is>
          <t>Paid</t>
        </is>
      </c>
      <c r="H510" s="13" t="n">
        <v>45488</v>
      </c>
    </row>
    <row r="511">
      <c r="A511" t="n">
        <v>9509</v>
      </c>
      <c r="B511" t="inlineStr">
        <is>
          <t>Vend_B</t>
        </is>
      </c>
      <c r="C511" s="13" t="n">
        <v>45416</v>
      </c>
      <c r="D511" s="13" t="n">
        <v>45446</v>
      </c>
      <c r="E511" t="inlineStr">
        <is>
          <t>EUR</t>
        </is>
      </c>
      <c r="F511" t="n">
        <v>3012.75</v>
      </c>
      <c r="G511" t="inlineStr">
        <is>
          <t>Paid</t>
        </is>
      </c>
      <c r="H511" s="13" t="n">
        <v>45459</v>
      </c>
    </row>
    <row r="512">
      <c r="A512" t="n">
        <v>9510</v>
      </c>
      <c r="B512" t="inlineStr">
        <is>
          <t>Vend_C</t>
        </is>
      </c>
      <c r="C512" s="13" t="n">
        <v>45472</v>
      </c>
      <c r="D512" s="13" t="n">
        <v>45502</v>
      </c>
      <c r="E512" t="inlineStr">
        <is>
          <t>EUR</t>
        </is>
      </c>
      <c r="F512" t="n">
        <v>4939.38</v>
      </c>
      <c r="G512" t="inlineStr">
        <is>
          <t>Open</t>
        </is>
      </c>
    </row>
    <row r="513">
      <c r="A513" t="n">
        <v>9511</v>
      </c>
      <c r="B513" t="inlineStr">
        <is>
          <t>Vend_C</t>
        </is>
      </c>
      <c r="C513" s="13" t="n">
        <v>45585</v>
      </c>
      <c r="D513" s="13" t="n">
        <v>45645</v>
      </c>
      <c r="E513" t="inlineStr">
        <is>
          <t>EUR</t>
        </is>
      </c>
      <c r="F513" t="n">
        <v>3099.6</v>
      </c>
      <c r="G513" t="inlineStr">
        <is>
          <t>Paid</t>
        </is>
      </c>
      <c r="H513" s="13" t="n">
        <v>45660</v>
      </c>
    </row>
    <row r="514">
      <c r="A514" t="n">
        <v>9512</v>
      </c>
      <c r="B514" t="inlineStr">
        <is>
          <t>Vend_A</t>
        </is>
      </c>
      <c r="C514" s="13" t="n">
        <v>45461</v>
      </c>
      <c r="D514" s="13" t="n">
        <v>45491</v>
      </c>
      <c r="E514" t="inlineStr">
        <is>
          <t>EUR</t>
        </is>
      </c>
      <c r="F514" t="n">
        <v>4141.01</v>
      </c>
      <c r="G514" t="inlineStr">
        <is>
          <t>Paid</t>
        </is>
      </c>
      <c r="H514" s="13" t="n">
        <v>45504</v>
      </c>
    </row>
    <row r="515">
      <c r="A515" t="n">
        <v>9513</v>
      </c>
      <c r="B515" t="inlineStr">
        <is>
          <t>Vend_C</t>
        </is>
      </c>
      <c r="C515" s="13" t="n">
        <v>45517</v>
      </c>
      <c r="D515" s="13" t="n">
        <v>45547</v>
      </c>
      <c r="E515" t="inlineStr">
        <is>
          <t>EUR</t>
        </is>
      </c>
      <c r="F515" t="n">
        <v>2947.86</v>
      </c>
      <c r="G515" t="inlineStr">
        <is>
          <t>Paid</t>
        </is>
      </c>
      <c r="H515" s="13" t="n">
        <v>45559</v>
      </c>
    </row>
    <row r="516">
      <c r="A516" t="n">
        <v>9514</v>
      </c>
      <c r="B516" t="inlineStr">
        <is>
          <t>Vend_B</t>
        </is>
      </c>
      <c r="C516" s="13" t="n">
        <v>45602</v>
      </c>
      <c r="D516" s="13" t="n">
        <v>45632</v>
      </c>
      <c r="E516" t="inlineStr">
        <is>
          <t>EUR</t>
        </is>
      </c>
      <c r="F516" t="n">
        <v>7579.27</v>
      </c>
      <c r="G516" t="inlineStr">
        <is>
          <t>Paid</t>
        </is>
      </c>
      <c r="H516" s="13" t="n">
        <v>45632</v>
      </c>
    </row>
    <row r="517">
      <c r="A517" t="n">
        <v>9515</v>
      </c>
      <c r="B517" t="inlineStr">
        <is>
          <t>Vend_A</t>
        </is>
      </c>
      <c r="C517" s="13" t="n">
        <v>45510</v>
      </c>
      <c r="D517" s="13" t="n">
        <v>45570</v>
      </c>
      <c r="E517" t="inlineStr">
        <is>
          <t>EUR</t>
        </is>
      </c>
      <c r="F517" t="n">
        <v>20911.64</v>
      </c>
      <c r="G517" t="inlineStr">
        <is>
          <t>Paid</t>
        </is>
      </c>
      <c r="H517" s="13" t="n">
        <v>45570</v>
      </c>
    </row>
    <row r="518">
      <c r="A518" t="n">
        <v>9516</v>
      </c>
      <c r="B518" t="inlineStr">
        <is>
          <t>Vend_C</t>
        </is>
      </c>
      <c r="C518" s="13" t="n">
        <v>45601</v>
      </c>
      <c r="D518" s="13" t="n">
        <v>45661</v>
      </c>
      <c r="E518" t="inlineStr">
        <is>
          <t>EUR</t>
        </is>
      </c>
      <c r="F518" t="n">
        <v>1271.87</v>
      </c>
      <c r="G518" t="inlineStr">
        <is>
          <t>Open</t>
        </is>
      </c>
    </row>
    <row r="519">
      <c r="A519" t="n">
        <v>9517</v>
      </c>
      <c r="B519" t="inlineStr">
        <is>
          <t>Vend_B</t>
        </is>
      </c>
      <c r="C519" s="13" t="n">
        <v>45536</v>
      </c>
      <c r="D519" s="13" t="n">
        <v>45596</v>
      </c>
      <c r="E519" t="inlineStr">
        <is>
          <t>EUR</t>
        </is>
      </c>
      <c r="F519" t="n">
        <v>490.97</v>
      </c>
      <c r="G519" t="inlineStr">
        <is>
          <t>Paid</t>
        </is>
      </c>
      <c r="H519" s="13" t="n">
        <v>45607</v>
      </c>
    </row>
    <row r="520">
      <c r="A520" t="n">
        <v>9518</v>
      </c>
      <c r="B520" t="inlineStr">
        <is>
          <t>Vend_B</t>
        </is>
      </c>
      <c r="C520" s="13" t="n">
        <v>45561</v>
      </c>
      <c r="D520" s="13" t="n">
        <v>45591</v>
      </c>
      <c r="E520" t="inlineStr">
        <is>
          <t>EUR</t>
        </is>
      </c>
      <c r="F520" t="n">
        <v>2920.48</v>
      </c>
      <c r="G520" t="inlineStr">
        <is>
          <t>Open</t>
        </is>
      </c>
    </row>
    <row r="521">
      <c r="A521" t="n">
        <v>9519</v>
      </c>
      <c r="B521" t="inlineStr">
        <is>
          <t>Vend_B</t>
        </is>
      </c>
      <c r="C521" s="13" t="n">
        <v>45548</v>
      </c>
      <c r="D521" s="13" t="n">
        <v>45608</v>
      </c>
      <c r="E521" t="inlineStr">
        <is>
          <t>EUR</t>
        </is>
      </c>
      <c r="F521" t="n">
        <v>7786.63</v>
      </c>
      <c r="G5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2025-11-28T15:59:48Z</dcterms:created>
  <dcterms:modified xmlns:dcterms="http://purl.org/dc/terms/" xmlns:xsi="http://www.w3.org/2001/XMLSchema-instance" xsi:type="dcterms:W3CDTF">2025-11-28T16:05:16Z</dcterms:modified>
</cp:coreProperties>
</file>